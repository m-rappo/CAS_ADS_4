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i/Desktop/CAS ADS/M1/"/>
    </mc:Choice>
  </mc:AlternateContent>
  <xr:revisionPtr revIDLastSave="0" documentId="13_ncr:1_{F0C23EE5-B271-514F-A1CB-26B7388920B8}" xr6:coauthVersionLast="47" xr6:coauthVersionMax="47" xr10:uidLastSave="{00000000-0000-0000-0000-000000000000}"/>
  <bookViews>
    <workbookView xWindow="0" yWindow="760" windowWidth="28420" windowHeight="15660" activeTab="1" xr2:uid="{00000000-000D-0000-FFFF-FFFF00000000}"/>
  </bookViews>
  <sheets>
    <sheet name="Index" sheetId="1" r:id="rId1"/>
    <sheet name="T09.01.01" sheetId="5" r:id="rId2"/>
    <sheet name="T09.01.02" sheetId="6" r:id="rId3"/>
    <sheet name="T09.01.03" sheetId="3" r:id="rId4"/>
    <sheet name="T09.01.04" sheetId="4" r:id="rId5"/>
    <sheet name="T09.01.05" sheetId="2" r:id="rId6"/>
    <sheet name="T09.01.06" sheetId="8" r:id="rId7"/>
    <sheet name="T09.01.07" sheetId="10" r:id="rId8"/>
    <sheet name="T09.01.08" sheetId="7" r:id="rId9"/>
  </sheets>
  <definedNames>
    <definedName name="T09.01.03_2010">'T09.01.03'!$A$668</definedName>
    <definedName name="T09.01.03_2011">'T09.01.03'!$A$621</definedName>
    <definedName name="T09.01.03_2012">'T09.01.03'!$A$574</definedName>
    <definedName name="T09.01.03_2013">'T09.01.03'!$A$527</definedName>
    <definedName name="T09.01.03_2014">'T09.01.03'!$A$480</definedName>
    <definedName name="T09.01.03_2015">'T09.01.03'!$A$433</definedName>
    <definedName name="T09.01.03_2016">'T09.01.03'!$A$385</definedName>
    <definedName name="T09.01.03_2017">'T09.01.03'!$A$337</definedName>
    <definedName name="T09.01.03_2018">'T09.01.03'!$A$291</definedName>
    <definedName name="T09.01.03_2019">'T09.01.03'!$A$243</definedName>
    <definedName name="T09.01.03_2020">'T09.01.03'!$A$195</definedName>
    <definedName name="T09.01.03_2021">'T09.01.03'!$A$147</definedName>
    <definedName name="T09.01.03_2022">'T09.01.03'!$88:$88</definedName>
    <definedName name="T09.01.03_2022_a">'T09.01.03'!$A$133</definedName>
    <definedName name="T09.01.04_2010">'T09.01.04'!$A$654</definedName>
    <definedName name="T09.01.04_2011">'T09.01.04'!$A$608</definedName>
    <definedName name="T09.01.04_2012">'T09.01.04'!$A$562</definedName>
    <definedName name="T09.01.04_2013">'T09.01.04'!$A$518</definedName>
    <definedName name="T09.01.04_2014">'T09.01.04'!$A$472</definedName>
    <definedName name="T09.01.04_2015">'T09.01.04'!$A$426</definedName>
    <definedName name="T09.01.04_2016">'T09.01.04'!$A$379</definedName>
    <definedName name="T09.01.04_2017">'T09.01.04'!$A$332</definedName>
    <definedName name="T09.01.04_2018">'T09.01.04'!$A$285</definedName>
    <definedName name="T09.01.04_2019">'T09.01.04'!$A$238</definedName>
    <definedName name="T09.01.04_2020">'T09.01.04'!$A$191</definedName>
    <definedName name="T09.01.04_2021">'T09.01.04'!$A$144</definedName>
    <definedName name="T09.01.04_2022">'T09.01.04'!$88:$88</definedName>
    <definedName name="T09.01.04_2022a">'T09.01.04'!$A$131</definedName>
    <definedName name="T09.01.05_2010">'T09.01.05'!$A$599</definedName>
    <definedName name="T09.01.05_2011">'T09.01.05'!$A$552</definedName>
    <definedName name="T09.01.05_2012">'T09.01.05'!$A$506</definedName>
    <definedName name="T09.01.05_2013">'T09.01.05'!$A$459</definedName>
    <definedName name="T09.01.05_2014">'T09.01.05'!$A$412</definedName>
    <definedName name="T09.01.05_2015">'T09.01.05'!$A$365</definedName>
    <definedName name="T09.01.05_2016">'T09.01.05'!$A$323</definedName>
    <definedName name="T09.01.05_2017">'T09.01.05'!$A$283</definedName>
    <definedName name="T09.01.05_2018">'T09.01.05'!$A$243</definedName>
    <definedName name="T09.01.05_2019">'T09.01.05'!$A$203</definedName>
    <definedName name="T09.01.05_2020">'T09.01.05'!$A$163</definedName>
    <definedName name="T09.01.05_2021">'T09.01.05'!$A$123</definedName>
    <definedName name="T09.01.05_2022">'T09.01.05'!$A$83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C35" i="2" l="1"/>
  <c r="D35" i="2"/>
  <c r="E35" i="2"/>
  <c r="F35" i="2"/>
  <c r="G35" i="2"/>
  <c r="H35" i="2"/>
  <c r="B35" i="2"/>
  <c r="B34" i="2"/>
  <c r="B33" i="2"/>
  <c r="B32" i="2"/>
  <c r="B31" i="2"/>
  <c r="B30" i="2"/>
  <c r="B29" i="2"/>
  <c r="B28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9" i="2"/>
  <c r="B10" i="2"/>
  <c r="B11" i="2"/>
  <c r="B8" i="2"/>
  <c r="C72" i="10" l="1"/>
  <c r="C42" i="10"/>
  <c r="B29" i="8"/>
  <c r="B73" i="4"/>
  <c r="B90" i="4"/>
  <c r="B89" i="4"/>
  <c r="B88" i="4"/>
  <c r="B87" i="4"/>
  <c r="B86" i="4"/>
  <c r="B85" i="4"/>
  <c r="B83" i="4"/>
  <c r="B82" i="4"/>
  <c r="B81" i="4"/>
  <c r="B80" i="4"/>
  <c r="B79" i="4"/>
  <c r="B78" i="4"/>
  <c r="B77" i="4"/>
  <c r="B76" i="4"/>
  <c r="B74" i="4"/>
  <c r="B72" i="4"/>
  <c r="B71" i="4"/>
  <c r="B70" i="4"/>
  <c r="B69" i="4"/>
  <c r="B68" i="4"/>
  <c r="B67" i="4"/>
  <c r="B66" i="4"/>
  <c r="B65" i="4"/>
  <c r="B64" i="4"/>
  <c r="B63" i="4"/>
  <c r="B62" i="4"/>
  <c r="B61" i="4"/>
  <c r="B57" i="4"/>
  <c r="B58" i="4"/>
  <c r="B59" i="4"/>
  <c r="B56" i="4"/>
  <c r="B95" i="8"/>
  <c r="C156" i="2"/>
  <c r="D156" i="2"/>
  <c r="E156" i="2"/>
  <c r="F156" i="2"/>
  <c r="G156" i="2"/>
  <c r="H156" i="2"/>
  <c r="B156" i="2"/>
  <c r="C168" i="2"/>
  <c r="D168" i="2"/>
  <c r="E168" i="2"/>
  <c r="F168" i="2"/>
  <c r="G168" i="2"/>
  <c r="H168" i="2"/>
  <c r="B168" i="2"/>
  <c r="C604" i="2"/>
  <c r="D604" i="2"/>
  <c r="E604" i="2"/>
  <c r="F604" i="2"/>
  <c r="G604" i="2"/>
  <c r="H604" i="2"/>
  <c r="B604" i="2"/>
</calcChain>
</file>

<file path=xl/sharedStrings.xml><?xml version="1.0" encoding="utf-8"?>
<sst xmlns="http://schemas.openxmlformats.org/spreadsheetml/2006/main" count="2361" uniqueCount="218">
  <si>
    <t>09.01 Logement</t>
  </si>
  <si>
    <t>Situation à fin décembre</t>
  </si>
  <si>
    <t>Total</t>
  </si>
  <si>
    <t xml:space="preserve"> 3 à 5</t>
  </si>
  <si>
    <t>6 à 9</t>
  </si>
  <si>
    <t>Type de bâtiments</t>
  </si>
  <si>
    <t>Maison individuelle</t>
  </si>
  <si>
    <t>Maison à plusieurs logements</t>
  </si>
  <si>
    <t>Bâtiment d'habitation avec usage annexe</t>
  </si>
  <si>
    <t>Epoque de construction</t>
  </si>
  <si>
    <t>Période avant 1919</t>
  </si>
  <si>
    <t>Période de 1919 à 1945</t>
  </si>
  <si>
    <t>Période de 1946 à 1960</t>
  </si>
  <si>
    <t>Période de 1961 à 1970</t>
  </si>
  <si>
    <t>Période de 1971 à 1980</t>
  </si>
  <si>
    <t>Période de 1981 à 1985</t>
  </si>
  <si>
    <t>Période de 1986 à 1990</t>
  </si>
  <si>
    <t>Période de 1991 à 1995</t>
  </si>
  <si>
    <t>Période de 1996 à 2000</t>
  </si>
  <si>
    <t>Période de 2001 à 2005</t>
  </si>
  <si>
    <t>Période de 2006 à 2010</t>
  </si>
  <si>
    <t>Période de 2011 à 2015</t>
  </si>
  <si>
    <t>Nombre de niveaux</t>
  </si>
  <si>
    <t>1 niveau</t>
  </si>
  <si>
    <t>2 niveaux</t>
  </si>
  <si>
    <t>3 niveaux</t>
  </si>
  <si>
    <t>4 niveaux</t>
  </si>
  <si>
    <t>5 niveaux</t>
  </si>
  <si>
    <t>6 niveaux</t>
  </si>
  <si>
    <t>7 niveaux</t>
  </si>
  <si>
    <t>8 niveaux et +</t>
  </si>
  <si>
    <t>Système de chauffage</t>
  </si>
  <si>
    <t>Poêle</t>
  </si>
  <si>
    <t>Chauffage central pour un logement</t>
  </si>
  <si>
    <t>Chauffage central pour le bâtiment</t>
  </si>
  <si>
    <t>Chauffage central pour plusieurs bâtiments</t>
  </si>
  <si>
    <t>Chauffage à distance</t>
  </si>
  <si>
    <t>Autre type de chauffage</t>
  </si>
  <si>
    <t>Pas de chauffage</t>
  </si>
  <si>
    <t>Epoque de construction du bâtiment</t>
  </si>
  <si>
    <t>Nombre de niveaux du bâtiment</t>
  </si>
  <si>
    <t>Surface du logement</t>
  </si>
  <si>
    <t>Logements par nombre de pièces</t>
  </si>
  <si>
    <t>8 niveaux et plus</t>
  </si>
  <si>
    <t xml:space="preserve">Taille du logement </t>
  </si>
  <si>
    <t>1 pièce</t>
  </si>
  <si>
    <t>2 pièces</t>
  </si>
  <si>
    <t>3 pièces</t>
  </si>
  <si>
    <t>4 pièces</t>
  </si>
  <si>
    <t>5 pièces</t>
  </si>
  <si>
    <t>6 pièces et plus</t>
  </si>
  <si>
    <t xml:space="preserve">Total </t>
  </si>
  <si>
    <t>6  et +</t>
  </si>
  <si>
    <t>...</t>
  </si>
  <si>
    <t>…</t>
  </si>
  <si>
    <t>-</t>
  </si>
  <si>
    <t xml:space="preserve"> -</t>
  </si>
  <si>
    <t>Logements vacants par nombre de pièces</t>
  </si>
  <si>
    <t>statistique@lausanne.ch</t>
  </si>
  <si>
    <r>
      <t>40 à 59 m</t>
    </r>
    <r>
      <rPr>
        <vertAlign val="superscript"/>
        <sz val="8"/>
        <rFont val="Arial Narrow"/>
        <family val="2"/>
      </rPr>
      <t>2</t>
    </r>
  </si>
  <si>
    <r>
      <t>60 à 79 m</t>
    </r>
    <r>
      <rPr>
        <vertAlign val="superscript"/>
        <sz val="8"/>
        <rFont val="Arial Narrow"/>
        <family val="2"/>
      </rPr>
      <t>2</t>
    </r>
  </si>
  <si>
    <r>
      <t>80 à 99 m</t>
    </r>
    <r>
      <rPr>
        <vertAlign val="superscript"/>
        <sz val="8"/>
        <rFont val="Arial Narrow"/>
        <family val="2"/>
      </rPr>
      <t>2</t>
    </r>
  </si>
  <si>
    <r>
      <t>100 à 119 m</t>
    </r>
    <r>
      <rPr>
        <vertAlign val="superscript"/>
        <sz val="8"/>
        <rFont val="Arial Narrow"/>
        <family val="2"/>
      </rPr>
      <t>2</t>
    </r>
  </si>
  <si>
    <r>
      <t>120 à 159 m</t>
    </r>
    <r>
      <rPr>
        <vertAlign val="superscript"/>
        <sz val="8"/>
        <rFont val="Arial Narrow"/>
        <family val="2"/>
      </rPr>
      <t>2</t>
    </r>
  </si>
  <si>
    <t>10 et +</t>
  </si>
  <si>
    <r>
      <t xml:space="preserve">Bâtiment partiellement à usage d'habitation </t>
    </r>
    <r>
      <rPr>
        <vertAlign val="superscript"/>
        <sz val="8"/>
        <rFont val="Arial Narrow"/>
        <family val="2"/>
      </rPr>
      <t>(1)</t>
    </r>
  </si>
  <si>
    <t>6 et +</t>
  </si>
  <si>
    <t>40 à 59</t>
  </si>
  <si>
    <t>60 à 79</t>
  </si>
  <si>
    <t>80 à 99</t>
  </si>
  <si>
    <t>100 à 119</t>
  </si>
  <si>
    <t>120 à 159</t>
  </si>
  <si>
    <t>160 et +</t>
  </si>
  <si>
    <r>
      <t>Logements par surface en m</t>
    </r>
    <r>
      <rPr>
        <b/>
        <vertAlign val="superscript"/>
        <sz val="8"/>
        <rFont val="Arial Narrow"/>
        <family val="2"/>
      </rPr>
      <t>2</t>
    </r>
  </si>
  <si>
    <r>
      <t>Situation au 1</t>
    </r>
    <r>
      <rPr>
        <vertAlign val="superscript"/>
        <sz val="8"/>
        <rFont val="Arial Narrow"/>
        <family val="2"/>
      </rPr>
      <t>er</t>
    </r>
    <r>
      <rPr>
        <sz val="8"/>
        <rFont val="Arial Narrow"/>
        <family val="2"/>
      </rPr>
      <t xml:space="preserve"> juin</t>
    </r>
  </si>
  <si>
    <t>dont à louer</t>
  </si>
  <si>
    <r>
      <t xml:space="preserve">1983 </t>
    </r>
    <r>
      <rPr>
        <vertAlign val="superscript"/>
        <sz val="8"/>
        <rFont val="Arial Narrow"/>
        <family val="2"/>
      </rPr>
      <t xml:space="preserve">(3) </t>
    </r>
  </si>
  <si>
    <t>(en % du parc)</t>
  </si>
  <si>
    <t>Taux de</t>
  </si>
  <si>
    <t>vacance</t>
  </si>
  <si>
    <r>
      <rPr>
        <vertAlign val="superscript"/>
        <sz val="8"/>
        <rFont val="Arial Narrow"/>
        <family val="2"/>
      </rPr>
      <t>(1)</t>
    </r>
    <r>
      <rPr>
        <sz val="8"/>
        <rFont val="Arial Narrow"/>
        <family val="2"/>
      </rPr>
      <t xml:space="preserve"> Non compris les résidences secondaires et les appartements meublés.</t>
    </r>
  </si>
  <si>
    <r>
      <rPr>
        <vertAlign val="superscript"/>
        <sz val="8"/>
        <rFont val="Arial Narrow"/>
        <family val="2"/>
      </rPr>
      <t>(2)</t>
    </r>
    <r>
      <rPr>
        <sz val="8"/>
        <rFont val="Arial Narrow"/>
        <family val="2"/>
      </rPr>
      <t xml:space="preserve"> Situation au 31 décembre de l'année précédente.</t>
    </r>
  </si>
  <si>
    <r>
      <rPr>
        <vertAlign val="superscript"/>
        <sz val="8"/>
        <rFont val="Arial Narrow"/>
        <family val="2"/>
      </rPr>
      <t xml:space="preserve">(3) </t>
    </r>
    <r>
      <rPr>
        <sz val="8"/>
        <rFont val="Arial Narrow"/>
        <family val="2"/>
      </rPr>
      <t xml:space="preserve">Pas de données en 1983, cette statistique, tenue jusqu'en 1982 par le Département de l'agriculture, de l'industrie et du commerce a été reprise par Statistique Vaud. </t>
    </r>
  </si>
  <si>
    <t>Bâtiments contenant ... logements</t>
  </si>
  <si>
    <r>
      <rPr>
        <vertAlign val="superscript"/>
        <sz val="8"/>
        <rFont val="Arial Narrow"/>
        <family val="2"/>
      </rPr>
      <t>(1)</t>
    </r>
    <r>
      <rPr>
        <sz val="8"/>
        <rFont val="Arial Narrow"/>
        <family val="2"/>
      </rPr>
      <t xml:space="preserve"> Dans cette catégorie figurent aussi les bâtiments sans logement proprement dit. Il s'agit en général d'hôtels, de bâtiments hospitaliers et de foyers.</t>
    </r>
  </si>
  <si>
    <r>
      <t>(1)</t>
    </r>
    <r>
      <rPr>
        <sz val="8"/>
        <rFont val="Arial Narrow"/>
        <family val="2"/>
      </rPr>
      <t xml:space="preserve"> Dans cette catégorie figurent aussi les bâtiments sans logement proprement dit. Il s'agit en général d'hôtels, de bâtiments hospitaliers et de foyers.</t>
    </r>
  </si>
  <si>
    <t>09.01.02 Ville de Lausanne - Logements vacants selon la taille, dès 1979</t>
  </si>
  <si>
    <r>
      <t xml:space="preserve">09.01.02 Ville de Lausanne - Logements vacants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selon la taille, dès 1979</t>
    </r>
  </si>
  <si>
    <r>
      <t xml:space="preserve">parc </t>
    </r>
    <r>
      <rPr>
        <b/>
        <vertAlign val="superscript"/>
        <sz val="8"/>
        <rFont val="Arial Narrow"/>
        <family val="2"/>
      </rPr>
      <t>(2)</t>
    </r>
  </si>
  <si>
    <t>09.01.03 Ville de Lausanne - Parc de logements selon les principales caractéristiques, par nombre de pièces, 2013</t>
  </si>
  <si>
    <t>09.01.03 Ville de Lausanne - Parc de logements selon les principales caractéristiques, par nombre de pièces, 2012</t>
  </si>
  <si>
    <t>09.01.03 Ville de Lausanne - Parc de logements selon les principales caractéristiques, par nombre de pièces, 2011</t>
  </si>
  <si>
    <t>09.01.04 Ville de Lausanne - Parc de logements selon les principales caractéristiques, par surface, 2013</t>
  </si>
  <si>
    <t>09.01.04 Ville de Lausanne - Parc de logements selon les principales caractéristiques, par surface, 2012</t>
  </si>
  <si>
    <t>09.01.04 Ville de Lausanne - Parc de logements selon les principales caractéristiques, par surface, 2011</t>
  </si>
  <si>
    <t>09.01.01 Ville de Lausanne - Parc de logements selon le nombre de pièces, dès 1971</t>
  </si>
  <si>
    <r>
      <t>160 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 xml:space="preserve"> et +</t>
    </r>
  </si>
  <si>
    <r>
      <t>- de 40 m</t>
    </r>
    <r>
      <rPr>
        <vertAlign val="superscript"/>
        <sz val="8"/>
        <rFont val="Arial Narrow"/>
        <family val="2"/>
      </rPr>
      <t>2</t>
    </r>
  </si>
  <si>
    <t>6 pièces et +</t>
  </si>
  <si>
    <t>- de 40</t>
  </si>
  <si>
    <t>Sources : Office fédéral de la statistique, Statistique Vaud Dénombrement des logements vacants</t>
  </si>
  <si>
    <t>Source : Office fédéral de la statistique Statistique des bâtiments et logements StatBL</t>
  </si>
  <si>
    <t>Source : Office fédéral de la statistique Statistique des bâtiments et des logements StatBL</t>
  </si>
  <si>
    <t>09.01.03 Ville de Lausanne - Parc de logements selon les principales caractéristiques, par nombre de pièces, 2014</t>
  </si>
  <si>
    <t>09.01.03 Ville de Lausanne - Parc de logements selon les principales caractéristiques, par nombre de pièces, 2015</t>
  </si>
  <si>
    <t>09.01.04 Ville de Lausanne - Parc de logements selon les principales caractéristiques, par surface, 2014</t>
  </si>
  <si>
    <t>09.01.04 Ville de Lausanne - Parc de logements selon les principales caractéristiques, par surface, 2015</t>
  </si>
  <si>
    <t>Service de l'économie</t>
  </si>
  <si>
    <t>Office d'appui économique et statistique</t>
  </si>
  <si>
    <t>Rue du Port-Franc 18</t>
  </si>
  <si>
    <t>Case postale 5354</t>
  </si>
  <si>
    <t>09.01.03 Ville de Lausanne - Parc de logements selon les principales caractéristiques, par nombre de pièces, 2016</t>
  </si>
  <si>
    <t>Période après 2015</t>
  </si>
  <si>
    <t>Source : Office fédéral de la statistique, Statistique des bâtiments et des logements StatBL</t>
  </si>
  <si>
    <t>09.01.04 Ville de Lausanne - Parc de logements selon les principales caractéristiques, par surface, 2016</t>
  </si>
  <si>
    <r>
      <t>Total</t>
    </r>
    <r>
      <rPr>
        <vertAlign val="superscript"/>
        <sz val="8"/>
        <rFont val="Arial Narrow"/>
        <family val="2"/>
      </rPr>
      <t xml:space="preserve"> (1)</t>
    </r>
  </si>
  <si>
    <r>
      <t xml:space="preserve">Bâtiment partiellement à usage d'habitation </t>
    </r>
    <r>
      <rPr>
        <vertAlign val="superscript"/>
        <sz val="8"/>
        <rFont val="Arial Narrow"/>
        <family val="2"/>
      </rPr>
      <t>(2)</t>
    </r>
  </si>
  <si>
    <r>
      <rPr>
        <vertAlign val="superscript"/>
        <sz val="8"/>
        <rFont val="Arial Narrow"/>
        <family val="2"/>
      </rPr>
      <t>(1)</t>
    </r>
    <r>
      <rPr>
        <sz val="8"/>
        <rFont val="Arial Narrow"/>
        <family val="2"/>
      </rPr>
      <t xml:space="preserve"> Les changements des dispositifs de chauffage ne sont pas systématiquement annoncés aux services compétents. L’OFS à ainsi décidé de suspendre la diffusion de cette information. Des données d’échantillon sont disponibles uniquement à l’échelle nationale.</t>
    </r>
  </si>
  <si>
    <r>
      <rPr>
        <vertAlign val="superscript"/>
        <sz val="8"/>
        <rFont val="Arial Narrow"/>
        <family val="2"/>
      </rPr>
      <t>(2)</t>
    </r>
    <r>
      <rPr>
        <sz val="8"/>
        <rFont val="Arial Narrow"/>
        <family val="2"/>
      </rPr>
      <t xml:space="preserve"> Dans cette catégorie figurent aussi les bâtiments sans logement proprement dit. Il s'agit en général d'hôtels, de bâtiments hospitaliers et de foyers.</t>
    </r>
  </si>
  <si>
    <t>09.01.03 Ville de Lausanne - Parc de logements selon les principales caractéristiques, par nombre de pièces, 2017</t>
  </si>
  <si>
    <t>09.01.04 Ville de Lausanne - Parc de logements selon les principales caractéristiques, par surface, 2017</t>
  </si>
  <si>
    <t>Estimation du</t>
  </si>
  <si>
    <t>logements</t>
  </si>
  <si>
    <t>09.01.03 Ville de Lausanne - Parc de logements selon les principales caractéristiques, par nombre de pièces, 2018</t>
  </si>
  <si>
    <t>09.01.04 Ville de Lausanne - Parc de logements selon les principales caractéristiques, par surface, 2018</t>
  </si>
  <si>
    <t>Raccourci vers l'année</t>
  </si>
  <si>
    <t>Haut de page</t>
  </si>
  <si>
    <t>09.01.03 Ville de Lausanne - Parc de logements selon les principales caractéristiques, par nombre de pièces, 2019</t>
  </si>
  <si>
    <t>09.01.04 Ville de Lausanne - Parc de logements selon les principales caractéristiques, par surface, 2019</t>
  </si>
  <si>
    <t>09.01.03 Ville de Lausanne - Parc de logements selon les principales caractéristiques, par nombre de pièces, 2020</t>
  </si>
  <si>
    <t>09.01.04 Ville de Lausanne - Parc de logements selon les principales caractéristiques, par surface, 2020</t>
  </si>
  <si>
    <t>Période de 2016 à 2020</t>
  </si>
  <si>
    <t>Période après 2010</t>
  </si>
  <si>
    <t>09.01.03 Ville de Lausanne - Parc de logements selon les principales caractéristiques, par nombre de pièces, 2010</t>
  </si>
  <si>
    <t>09.01.04 Ville de Lausanne - Parc de logements selon les principales caractéristiques, par surface, 2010</t>
  </si>
  <si>
    <t>09.01.03 Ville de Lausanne - Parc de logements selon les principales caractéristiques, par nombre de pièces, dès 2010</t>
  </si>
  <si>
    <t>09.01.04 Ville de Lausanne - Parc de logements selon les principales caractéristiques, par surface, dès 2010</t>
  </si>
  <si>
    <t>Bureaux, cabinets médicaux</t>
  </si>
  <si>
    <t>Magasins, locaux de vente</t>
  </si>
  <si>
    <t>Ateliers, usines</t>
  </si>
  <si>
    <t>Dépôts, entrepôts, hangars</t>
  </si>
  <si>
    <t>Autres</t>
  </si>
  <si>
    <t>Nombre</t>
  </si>
  <si>
    <r>
      <t>m</t>
    </r>
    <r>
      <rPr>
        <vertAlign val="superscript"/>
        <sz val="8"/>
        <rFont val="Arial Narrow"/>
        <family val="2"/>
      </rPr>
      <t>2</t>
    </r>
  </si>
  <si>
    <t>Sources : Statistique Vaud, Dénombrement des locaux industriels et commerciaux vacants</t>
  </si>
  <si>
    <r>
      <t>Total</t>
    </r>
    <r>
      <rPr>
        <vertAlign val="superscript"/>
        <sz val="8"/>
        <rFont val="Arial Narrow"/>
        <family val="2"/>
      </rPr>
      <t xml:space="preserve"> </t>
    </r>
  </si>
  <si>
    <t>Type de propriétaire</t>
  </si>
  <si>
    <t>Particulier(s)</t>
  </si>
  <si>
    <t>Personne morale</t>
  </si>
  <si>
    <r>
      <t xml:space="preserve">Communauté </t>
    </r>
    <r>
      <rPr>
        <vertAlign val="superscript"/>
        <sz val="8"/>
        <rFont val="Cambria"/>
        <family val="1"/>
      </rPr>
      <t>(</t>
    </r>
    <r>
      <rPr>
        <vertAlign val="superscript"/>
        <sz val="8"/>
        <rFont val="Arial Narrow"/>
        <family val="2"/>
      </rPr>
      <t>1</t>
    </r>
    <r>
      <rPr>
        <vertAlign val="superscript"/>
        <sz val="8"/>
        <rFont val="Cambria"/>
        <family val="1"/>
      </rPr>
      <t>)</t>
    </r>
  </si>
  <si>
    <r>
      <t>Mixtes</t>
    </r>
    <r>
      <rPr>
        <vertAlign val="superscript"/>
        <sz val="8"/>
        <rFont val="Arial Narrow"/>
        <family val="2"/>
      </rPr>
      <t xml:space="preserve"> (2)</t>
    </r>
  </si>
  <si>
    <r>
      <t xml:space="preserve">Inconnu </t>
    </r>
    <r>
      <rPr>
        <vertAlign val="superscript"/>
        <sz val="8"/>
        <rFont val="Arial Narrow"/>
        <family val="2"/>
      </rPr>
      <t>(3)</t>
    </r>
  </si>
  <si>
    <t>Effectif</t>
  </si>
  <si>
    <t>En %</t>
  </si>
  <si>
    <r>
      <t xml:space="preserve">Bâtiment partiellement à usage d'habitation </t>
    </r>
    <r>
      <rPr>
        <vertAlign val="superscript"/>
        <sz val="8"/>
        <rFont val="Arial Narrow"/>
        <family val="2"/>
      </rPr>
      <t>(4)</t>
    </r>
  </si>
  <si>
    <t xml:space="preserve">   les communautés de biens et l'indivision.</t>
  </si>
  <si>
    <t xml:space="preserve">   possible d’attribuer le bâtiment à l’une ou l’autre des catégories. </t>
  </si>
  <si>
    <r>
      <rPr>
        <vertAlign val="superscript"/>
        <sz val="8"/>
        <rFont val="Arial Narrow"/>
        <family val="2"/>
      </rPr>
      <t>(4)</t>
    </r>
    <r>
      <rPr>
        <sz val="8"/>
        <rFont val="Arial Narrow"/>
        <family val="2"/>
      </rPr>
      <t xml:space="preserve"> Dans cette catégorie figurent aussi les bâtiments sans logement proprement dit. Il s'agit en général d'hôtels, de bâtiments hospitaliers et de foyers.</t>
    </r>
  </si>
  <si>
    <t>09.01.03 Ville de Lausanne - Parc de logements selon les principales caractéristiques, par nombre de pièces, 2021</t>
  </si>
  <si>
    <t>09.01.04 Ville de Lausanne - Parc de logements selon les principales caractéristiques, par surface, 2021</t>
  </si>
  <si>
    <r>
      <rPr>
        <vertAlign val="superscript"/>
        <sz val="8"/>
        <rFont val="Arial Narrow"/>
        <family val="2"/>
      </rPr>
      <t xml:space="preserve">(1) </t>
    </r>
    <r>
      <rPr>
        <sz val="8"/>
        <rFont val="Arial Narrow"/>
        <family val="2"/>
      </rPr>
      <t>Communauté : forme de propriété collective dont le droit de chaque membre s'exerce sur la chose entière. Sont considérées sous le terme de communautés, les sociétés simples, les hoiries,</t>
    </r>
  </si>
  <si>
    <r>
      <rPr>
        <vertAlign val="superscript"/>
        <sz val="8"/>
        <rFont val="Arial Narrow"/>
        <family val="2"/>
      </rPr>
      <t xml:space="preserve">(2) </t>
    </r>
    <r>
      <rPr>
        <sz val="8"/>
        <rFont val="Arial Narrow"/>
        <family val="2"/>
      </rPr>
      <t xml:space="preserve">Mixtes : forme de propriété attribuée lorsqu’un bâtiment appartient à des propriétaires d’au moins deux types différents. Les parts de chaque propriétaire n’étant pas toujours connues, il n’est pas </t>
    </r>
  </si>
  <si>
    <r>
      <rPr>
        <vertAlign val="superscript"/>
        <sz val="8"/>
        <rFont val="Arial Narrow"/>
        <family val="2"/>
      </rPr>
      <t>(3)</t>
    </r>
    <r>
      <rPr>
        <sz val="8"/>
        <rFont val="Arial Narrow"/>
        <family val="2"/>
      </rPr>
      <t xml:space="preserve"> Inconnu : forme de propriété attribuée aux bâtiments pour lesquels les registres fonciers n'ont livré aucune information sur les propriétaires.</t>
    </r>
  </si>
  <si>
    <t>09.01.06 Ville de Lausanne - Parc des bâtiments selon le type de bâtiments et le type de propriétaire, 2021</t>
  </si>
  <si>
    <t>09.01.06 Ville de Lausanne - Parc des bâtiments selon le type de bâtiments et le type de propriétaire, 2020</t>
  </si>
  <si>
    <t>09.01.06 Ville de Lausanne - Parc des bâtiments selonle type de bâtiments et le type de propriétaire, dès 2020</t>
  </si>
  <si>
    <t>09.01.08 Ville de Lausanne - Locaux commerciaux et industriels vacants selon le type, dès 1987</t>
  </si>
  <si>
    <t>Logements</t>
  </si>
  <si>
    <t>Source d'énergie du chauffage</t>
  </si>
  <si>
    <r>
      <t xml:space="preserve">Sources d'énergie pour les pompes à chaleur </t>
    </r>
    <r>
      <rPr>
        <vertAlign val="superscript"/>
        <sz val="8"/>
        <rFont val="Arial Narrow"/>
        <family val="2"/>
      </rPr>
      <t>(1)</t>
    </r>
  </si>
  <si>
    <t>Gaz</t>
  </si>
  <si>
    <t>Mazout</t>
  </si>
  <si>
    <t>Bois</t>
  </si>
  <si>
    <t>Electricité</t>
  </si>
  <si>
    <t>Solaire thermique</t>
  </si>
  <si>
    <t>Source d'énergie de l'eau chaude</t>
  </si>
  <si>
    <t>Bâtiments</t>
  </si>
  <si>
    <t>09.01.07 Ville de Lausanne - Parc de logements et de bâtiments, selon la source d’énergie du chauffage et la source d'énergie de l'eau chaude, 2021</t>
  </si>
  <si>
    <r>
      <t>(1)</t>
    </r>
    <r>
      <rPr>
        <sz val="8"/>
        <color theme="1"/>
        <rFont val="Arial Narrow"/>
        <family val="2"/>
      </rPr>
      <t xml:space="preserve"> Les sources d’énergie pour les pompes à chaleur sont par exemple l’air, la géothermie et l’eau.</t>
    </r>
  </si>
  <si>
    <r>
      <t xml:space="preserve">Autres sources d'énergie </t>
    </r>
    <r>
      <rPr>
        <vertAlign val="superscript"/>
        <sz val="8"/>
        <rFont val="Arial Narrow"/>
        <family val="2"/>
      </rPr>
      <t>(2)</t>
    </r>
  </si>
  <si>
    <t>Si plusieurs sources d’énergie coexistent, cette statistique fait uniquement référence à la source principale utilisée. </t>
  </si>
  <si>
    <r>
      <t>(2)</t>
    </r>
    <r>
      <rPr>
        <sz val="8"/>
        <color theme="1"/>
        <rFont val="Arial Narrow"/>
        <family val="2"/>
      </rPr>
      <t xml:space="preserve"> Les autres sources d’énergie sont par exemple les poêles et la chaleur produite à distance.</t>
    </r>
  </si>
  <si>
    <t>09.01.03 Ville de Lausanne - Parc de logements selon les principales caractéristiques, par nombre de pièces, 2022</t>
  </si>
  <si>
    <t>09.01.04 Ville de Lausanne - Parc de logements selon les principales caractéristiques, par surface, 2022</t>
  </si>
  <si>
    <t>09.01.07 Ville de Lausanne - Parc de logements et de bâtiments, selon la source d’énergie du chauffage et la source d'énergie de l'eau chaude, 2022</t>
  </si>
  <si>
    <t>09.01.06 Ville de Lausanne - Parc des bâtiments selon le type de bâtiments et le type de propriétaire, 2022</t>
  </si>
  <si>
    <t>09.01.03 Ville de Lausanne - Parc de logements selon les principales caractéristiques, par nombre de pièces, 2023</t>
  </si>
  <si>
    <t>09.01.04 Ville de Lausanne - Parc de logements selon les principales caractéristiques, par surface, 2023</t>
  </si>
  <si>
    <t>09.01.06 Ville de Lausanne - Parc des bâtiments selon le type de bâtiments et le type de propriétaire, 2023</t>
  </si>
  <si>
    <t>09.01.07 Ville de Lausanne - Parc de logements et de bâtiments, selon la source d’énergie du chauffage et la source d'énergie de l'eau chaude, 2023</t>
  </si>
  <si>
    <t>Période après 2020</t>
  </si>
  <si>
    <t xml:space="preserve">Aucune source d'énergie </t>
  </si>
  <si>
    <t>1001 Lausanne</t>
  </si>
  <si>
    <t>09.01.03 Ville de Lausanne - Parc de logements selon les principales caractéristiques, par nombre de pièces, 2024</t>
  </si>
  <si>
    <t>09.01.04 Ville de Lausanne - Parc de logements selon les principales caractéristiques, par surface, 2024</t>
  </si>
  <si>
    <t>09.01.05 Ville de Lausanne -  Parc de bâtiments selon les principales caractéristiques, par taille des bâtiments, 2024</t>
  </si>
  <si>
    <t>09.01.05 Ville de Lausanne -  Parc de bâtiments selon les principales caractéristiques, par taille des bâtiments, 2023</t>
  </si>
  <si>
    <t>09.01.05 Ville de Lausanne -  Parc de bâtiments selon les principales caractéristiques, par taille des bâtiments, 2022</t>
  </si>
  <si>
    <t>09.01.05 Ville de Lausanne -  Parc de bâtiments selon les principales caractéristiques, par taille des bâtiments, 2021</t>
  </si>
  <si>
    <t>09.01.05 Ville de Lausanne -  Parc de bâtiments selon les principales caractéristiques, par taille des bâtiments, 2020</t>
  </si>
  <si>
    <t>09.01.05 Ville de Lausanne -  Parc de bâtiments selon les principales caractéristiques, par taille des bâtiments, 2019</t>
  </si>
  <si>
    <t>09.01.05 Ville de Lausanne -  Parc de bâtiments selon les principales caractéristiques, par taille des bâtiments, 2018</t>
  </si>
  <si>
    <t>09.01.05 Ville de Lausanne -  Parc de bâtiments selon les principales caractéristiques, par taille des bâtiments, 2017</t>
  </si>
  <si>
    <t>09.01.05 Ville de Lausanne -  Parc de bâtiments selon les principales caractéristiques, par taille des bâtiments, 2016</t>
  </si>
  <si>
    <t>09.01.05 Ville de Lausanne -  Parc de bâtiments selon les principales caractéristiques, par taille des bâtiments, 2015</t>
  </si>
  <si>
    <t>09.01.05 Ville de Lausanne -  Parc de bâtiments selon les principales caractéristiques, par taille des bâtiments, 2014</t>
  </si>
  <si>
    <t>09.01.05 Ville de Lausanne -  Parc de bâtiments selon les principales caractéristiques, par taille des bâtiments, 2013</t>
  </si>
  <si>
    <t>09.01.05 Ville de Lausanne -  Parc de bâtiments selon les principales caractéristiques, par taille des bâtiments, 2012</t>
  </si>
  <si>
    <t>09.01.05 Ville de Lausanne -  Parc de bâtiments selon les principales caractéristiques, par taille des bâtiments, 2011</t>
  </si>
  <si>
    <t>09.01.05 Ville de Lausanne -  Parc de bâtiments selon les principales caractéristiques, par taille des bâtiments, 2010</t>
  </si>
  <si>
    <t>09.01.05 Ville de Lausanne - Parc des bâtiments selon les principales caractéristiques, par taille des bâtiments, dès 2010</t>
  </si>
  <si>
    <t>09.01.06 Ville de Lausanne - Parc des bâtiments selon le type de bâtiments et le type de propriétaire, 2024</t>
  </si>
  <si>
    <t>09.01.07 Ville de Lausanne - Parc de logements et de bâtiments, selon la source d’énergie du chauffage et la source d'énergie de l'eau chaude, 2024</t>
  </si>
  <si>
    <t>09.01.07 Ville de Lausanne - Parc de logements et de bâtiments, selon la source d’énergie du chauffage et la source d'énergie de l'eau chaude, dès 2021</t>
  </si>
  <si>
    <t>Population</t>
  </si>
  <si>
    <t>Housing units</t>
  </si>
  <si>
    <t>People per housing unit</t>
  </si>
  <si>
    <t>6 and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</si>
</sst>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SFr.&quot;\ * #,##0_ ;_ &quot;SFr.&quot;\ * \-#,##0_ ;_ &quot;SFr.&quot;\ * &quot;-&quot;_ ;_ @_ "/>
    <numFmt numFmtId="165" formatCode="#,###,##0;#,###,##0;\-"/>
    <numFmt numFmtId="166" formatCode="#,###,##0;\-#,###,##0;\-"/>
    <numFmt numFmtId="167" formatCode="_ [$€-2]\ * #,##0.00_ ;_ [$€-2]\ * \-#,##0.00_ ;_ [$€-2]\ * &quot;-&quot;??_ "/>
    <numFmt numFmtId="168" formatCode="#,###,##0.0;\-#,###,##0.0;\-"/>
    <numFmt numFmtId="169" formatCode="0.0"/>
  </numFmts>
  <fonts count="66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 Narrow"/>
      <family val="2"/>
    </font>
    <font>
      <b/>
      <sz val="12"/>
      <name val="Arial Narrow"/>
      <family val="2"/>
    </font>
    <font>
      <sz val="10"/>
      <name val="Helv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8"/>
      <name val="Arial"/>
      <family val="2"/>
    </font>
    <font>
      <u/>
      <sz val="10"/>
      <color indexed="12"/>
      <name val="Times New Roman"/>
      <family val="1"/>
    </font>
    <font>
      <u/>
      <sz val="10"/>
      <color indexed="36"/>
      <name val="Times New Roman"/>
      <family val="1"/>
    </font>
    <font>
      <sz val="8"/>
      <color theme="1"/>
      <name val="Arial"/>
      <family val="2"/>
    </font>
    <font>
      <sz val="11"/>
      <color rgb="FF000000"/>
      <name val="Calibri"/>
      <family val="2"/>
    </font>
    <font>
      <u/>
      <sz val="10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u/>
      <sz val="12"/>
      <color theme="10"/>
      <name val="Arial Narrow"/>
      <family val="2"/>
    </font>
    <font>
      <sz val="12"/>
      <name val="Arial Narrow"/>
      <family val="2"/>
    </font>
    <font>
      <u/>
      <sz val="12"/>
      <name val="Arial Narrow"/>
      <family val="2"/>
    </font>
    <font>
      <sz val="10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i/>
      <sz val="8"/>
      <name val="Arial Narrow"/>
      <family val="2"/>
    </font>
    <font>
      <b/>
      <sz val="8"/>
      <color indexed="10"/>
      <name val="Arial Narrow"/>
      <family val="2"/>
    </font>
    <font>
      <sz val="8"/>
      <color theme="1"/>
      <name val="Arial Narrow"/>
      <family val="2"/>
    </font>
    <font>
      <sz val="8"/>
      <color indexed="10"/>
      <name val="Arial Narrow"/>
      <family val="2"/>
    </font>
    <font>
      <b/>
      <sz val="10"/>
      <name val="Arial Narrow"/>
      <family val="2"/>
    </font>
    <font>
      <b/>
      <sz val="8"/>
      <color theme="1"/>
      <name val="Arial Narrow"/>
      <family val="2"/>
    </font>
    <font>
      <sz val="10"/>
      <name val="Arial Narrow"/>
      <family val="2"/>
    </font>
    <font>
      <vertAlign val="superscript"/>
      <sz val="8"/>
      <name val="Arial Narrow"/>
      <family val="2"/>
    </font>
    <font>
      <b/>
      <sz val="8"/>
      <color rgb="FF000000"/>
      <name val="Arial Narrow"/>
      <family val="2"/>
    </font>
    <font>
      <b/>
      <sz val="10"/>
      <color indexed="10"/>
      <name val="Arial Narrow"/>
      <family val="2"/>
    </font>
    <font>
      <b/>
      <sz val="10"/>
      <color theme="1"/>
      <name val="Arial Narrow"/>
      <family val="2"/>
    </font>
    <font>
      <b/>
      <vertAlign val="superscript"/>
      <sz val="8"/>
      <name val="Arial Narrow"/>
      <family val="2"/>
    </font>
    <font>
      <b/>
      <vertAlign val="superscript"/>
      <sz val="10"/>
      <name val="Arial Narrow"/>
      <family val="2"/>
    </font>
    <font>
      <b/>
      <sz val="18"/>
      <color theme="3"/>
      <name val="Cambria"/>
      <family val="2"/>
      <scheme val="major"/>
    </font>
    <font>
      <sz val="12"/>
      <name val="Times New Roman"/>
      <family val="1"/>
    </font>
    <font>
      <sz val="8"/>
      <color rgb="FFFF0000"/>
      <name val="Arial Narrow"/>
      <family val="2"/>
    </font>
    <font>
      <b/>
      <sz val="10"/>
      <color rgb="FF222222"/>
      <name val="Arial Narrow"/>
      <family val="2"/>
    </font>
    <font>
      <b/>
      <u/>
      <sz val="9"/>
      <color rgb="FF0070C0"/>
      <name val="Arial Narrow"/>
      <family val="2"/>
    </font>
    <font>
      <b/>
      <u/>
      <sz val="10"/>
      <name val="Arial Narrow"/>
      <family val="2"/>
    </font>
    <font>
      <sz val="10"/>
      <color indexed="10"/>
      <name val="Arial Narrow"/>
      <family val="2"/>
    </font>
    <font>
      <sz val="11"/>
      <color theme="1"/>
      <name val="Arial"/>
      <family val="2"/>
    </font>
    <font>
      <vertAlign val="superscript"/>
      <sz val="8"/>
      <name val="Cambria"/>
      <family val="1"/>
    </font>
    <font>
      <sz val="16"/>
      <color theme="1"/>
      <name val="Arial Narrow"/>
      <family val="2"/>
    </font>
    <font>
      <vertAlign val="superscript"/>
      <sz val="8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indexed="1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3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9" fillId="31" borderId="0" applyNumberFormat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2" fillId="0" borderId="0"/>
    <xf numFmtId="164" fontId="3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164" fontId="31" fillId="0" borderId="0" applyFont="0" applyFill="0" applyBorder="0" applyAlignment="0" applyProtection="0"/>
    <xf numFmtId="0" fontId="22" fillId="0" borderId="0"/>
    <xf numFmtId="165" fontId="24" fillId="0" borderId="0" applyBorder="0">
      <alignment horizontal="right"/>
    </xf>
    <xf numFmtId="166" fontId="23" fillId="0" borderId="0" applyBorder="0">
      <alignment horizontal="right"/>
    </xf>
    <xf numFmtId="0" fontId="23" fillId="0" borderId="0">
      <alignment horizontal="left"/>
    </xf>
    <xf numFmtId="0" fontId="27" fillId="0" borderId="0">
      <alignment horizontal="right" vertical="center"/>
    </xf>
    <xf numFmtId="0" fontId="26" fillId="0" borderId="9">
      <alignment horizontal="right"/>
    </xf>
    <xf numFmtId="0" fontId="23" fillId="0" borderId="10">
      <alignment horizontal="right"/>
    </xf>
    <xf numFmtId="0" fontId="23" fillId="0" borderId="11">
      <alignment horizontal="right" vertical="top" wrapText="1"/>
    </xf>
    <xf numFmtId="0" fontId="23" fillId="0" borderId="0">
      <alignment horizontal="right" vertical="top" wrapText="1"/>
    </xf>
    <xf numFmtId="167" fontId="25" fillId="0" borderId="0" applyFont="0" applyFill="0" applyBorder="0" applyAlignment="0" applyProtection="0"/>
    <xf numFmtId="0" fontId="28" fillId="0" borderId="0">
      <alignment horizontal="left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64" fontId="3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2" fillId="0" borderId="0" applyNumberFormat="0" applyBorder="0" applyAlignment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9" fillId="0" borderId="0" applyNumberFormat="0" applyFill="0" applyBorder="0" applyAlignment="0" applyProtection="0">
      <alignment vertical="top"/>
      <protection locked="0"/>
    </xf>
    <xf numFmtId="164" fontId="3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4" fontId="22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22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64" fontId="31" fillId="0" borderId="0" applyFont="0" applyFill="0" applyBorder="0" applyAlignment="0" applyProtection="0"/>
    <xf numFmtId="4" fontId="22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22" fillId="0" borderId="0"/>
    <xf numFmtId="0" fontId="22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4" fontId="2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22" fillId="0" borderId="0"/>
    <xf numFmtId="0" fontId="22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22" fillId="0" borderId="0"/>
    <xf numFmtId="164" fontId="31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4" fontId="22" fillId="0" borderId="0" applyFont="0" applyFill="0" applyBorder="0" applyAlignment="0" applyProtection="0"/>
    <xf numFmtId="0" fontId="22" fillId="0" borderId="0"/>
    <xf numFmtId="4" fontId="22" fillId="0" borderId="0" applyFont="0" applyFill="0" applyBorder="0" applyAlignment="0" applyProtection="0"/>
    <xf numFmtId="0" fontId="22" fillId="0" borderId="0"/>
    <xf numFmtId="0" fontId="55" fillId="0" borderId="0" applyNumberFormat="0" applyFill="0" applyBorder="0" applyAlignment="0" applyProtection="0"/>
    <xf numFmtId="0" fontId="4" fillId="34" borderId="12" applyNumberFormat="0" applyFont="0" applyAlignment="0" applyProtection="0"/>
    <xf numFmtId="0" fontId="56" fillId="0" borderId="0"/>
    <xf numFmtId="0" fontId="25" fillId="0" borderId="0"/>
    <xf numFmtId="0" fontId="25" fillId="0" borderId="0"/>
    <xf numFmtId="0" fontId="4" fillId="0" borderId="0"/>
    <xf numFmtId="0" fontId="4" fillId="34" borderId="12" applyNumberFormat="0" applyFont="0" applyAlignment="0" applyProtection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4" borderId="12" applyNumberFormat="0" applyFont="0" applyAlignment="0" applyProtection="0"/>
    <xf numFmtId="0" fontId="4" fillId="0" borderId="0"/>
    <xf numFmtId="0" fontId="4" fillId="0" borderId="0"/>
    <xf numFmtId="0" fontId="4" fillId="34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" fillId="0" borderId="0"/>
    <xf numFmtId="0" fontId="39" fillId="0" borderId="0"/>
    <xf numFmtId="0" fontId="4" fillId="0" borderId="0"/>
    <xf numFmtId="0" fontId="62" fillId="0" borderId="0"/>
  </cellStyleXfs>
  <cellXfs count="238">
    <xf numFmtId="0" fontId="0" fillId="0" borderId="0" xfId="0"/>
    <xf numFmtId="0" fontId="21" fillId="0" borderId="0" xfId="40" applyFont="1" applyAlignment="1" applyProtection="1">
      <alignment vertical="center"/>
    </xf>
    <xf numFmtId="0" fontId="33" fillId="0" borderId="0" xfId="40" applyFont="1" applyFill="1" applyBorder="1" applyAlignment="1" applyProtection="1">
      <alignment horizontal="left"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40" applyFont="1" applyAlignment="1" applyProtection="1">
      <alignment vertical="center"/>
    </xf>
    <xf numFmtId="0" fontId="3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66" fontId="40" fillId="0" borderId="0" xfId="47" applyFont="1" applyBorder="1" applyAlignment="1">
      <alignment horizontal="right" vertical="center"/>
    </xf>
    <xf numFmtId="0" fontId="40" fillId="0" borderId="0" xfId="48" applyFont="1" applyAlignment="1">
      <alignment horizontal="left" vertical="center"/>
    </xf>
    <xf numFmtId="0" fontId="40" fillId="0" borderId="0" xfId="48" quotePrefix="1" applyFont="1" applyAlignment="1">
      <alignment horizontal="left" vertical="center"/>
    </xf>
    <xf numFmtId="0" fontId="40" fillId="0" borderId="0" xfId="66" quotePrefix="1" applyFont="1" applyAlignment="1">
      <alignment horizontal="right" vertical="center"/>
    </xf>
    <xf numFmtId="0" fontId="44" fillId="0" borderId="0" xfId="0" applyFont="1" applyAlignment="1">
      <alignment vertical="center"/>
    </xf>
    <xf numFmtId="0" fontId="40" fillId="0" borderId="0" xfId="45" applyFont="1" applyAlignment="1">
      <alignment vertical="center"/>
    </xf>
    <xf numFmtId="0" fontId="45" fillId="0" borderId="0" xfId="45" applyFont="1" applyAlignment="1">
      <alignment vertical="center"/>
    </xf>
    <xf numFmtId="0" fontId="40" fillId="0" borderId="0" xfId="66" applyFont="1" applyAlignment="1">
      <alignment vertical="center"/>
    </xf>
    <xf numFmtId="0" fontId="43" fillId="0" borderId="0" xfId="66" applyFont="1" applyAlignment="1">
      <alignment vertical="center"/>
    </xf>
    <xf numFmtId="0" fontId="41" fillId="0" borderId="0" xfId="66" quotePrefix="1" applyFont="1" applyAlignment="1">
      <alignment horizontal="right" vertical="center"/>
    </xf>
    <xf numFmtId="0" fontId="40" fillId="0" borderId="0" xfId="66" applyFont="1" applyAlignment="1">
      <alignment horizontal="right" vertical="center"/>
    </xf>
    <xf numFmtId="0" fontId="40" fillId="0" borderId="0" xfId="68" applyFont="1" applyAlignment="1">
      <alignment vertical="center"/>
    </xf>
    <xf numFmtId="0" fontId="43" fillId="0" borderId="0" xfId="68" applyFont="1" applyAlignment="1">
      <alignment vertical="center"/>
    </xf>
    <xf numFmtId="0" fontId="41" fillId="0" borderId="0" xfId="68" quotePrefix="1" applyFont="1" applyAlignment="1">
      <alignment horizontal="right" vertical="center"/>
    </xf>
    <xf numFmtId="0" fontId="45" fillId="0" borderId="0" xfId="68" applyFont="1" applyAlignment="1">
      <alignment vertical="center"/>
    </xf>
    <xf numFmtId="0" fontId="40" fillId="0" borderId="0" xfId="68" applyFont="1" applyAlignment="1">
      <alignment horizontal="right" vertical="center"/>
    </xf>
    <xf numFmtId="0" fontId="46" fillId="0" borderId="0" xfId="41" applyFont="1" applyAlignment="1">
      <alignment horizontal="left" vertical="center"/>
    </xf>
    <xf numFmtId="0" fontId="40" fillId="0" borderId="0" xfId="45" applyFont="1" applyAlignment="1">
      <alignment horizontal="right" vertical="center"/>
    </xf>
    <xf numFmtId="0" fontId="42" fillId="0" borderId="0" xfId="45" quotePrefix="1" applyFont="1" applyAlignment="1">
      <alignment horizontal="left" vertical="center"/>
    </xf>
    <xf numFmtId="0" fontId="45" fillId="0" borderId="0" xfId="66" applyFont="1" applyAlignment="1">
      <alignment vertical="center"/>
    </xf>
    <xf numFmtId="0" fontId="42" fillId="0" borderId="0" xfId="66" quotePrefix="1" applyFont="1" applyAlignment="1">
      <alignment horizontal="left" vertical="center"/>
    </xf>
    <xf numFmtId="0" fontId="42" fillId="0" borderId="0" xfId="68" quotePrefix="1" applyFont="1" applyAlignment="1">
      <alignment horizontal="left" vertical="center"/>
    </xf>
    <xf numFmtId="0" fontId="40" fillId="32" borderId="0" xfId="45" applyFont="1" applyFill="1" applyAlignment="1">
      <alignment vertical="center"/>
    </xf>
    <xf numFmtId="0" fontId="41" fillId="32" borderId="0" xfId="45" applyFont="1" applyFill="1" applyAlignment="1">
      <alignment vertical="center"/>
    </xf>
    <xf numFmtId="0" fontId="43" fillId="32" borderId="0" xfId="45" applyFont="1" applyFill="1" applyAlignment="1">
      <alignment vertical="center"/>
    </xf>
    <xf numFmtId="0" fontId="41" fillId="32" borderId="0" xfId="45" quotePrefix="1" applyFont="1" applyFill="1" applyAlignment="1">
      <alignment vertical="center"/>
    </xf>
    <xf numFmtId="0" fontId="41" fillId="32" borderId="0" xfId="45" quotePrefix="1" applyFont="1" applyFill="1" applyAlignment="1">
      <alignment horizontal="right" vertical="center"/>
    </xf>
    <xf numFmtId="0" fontId="47" fillId="0" borderId="0" xfId="0" applyFont="1" applyAlignment="1">
      <alignment vertical="center"/>
    </xf>
    <xf numFmtId="166" fontId="40" fillId="33" borderId="0" xfId="47" applyFont="1" applyFill="1" applyBorder="1" applyAlignment="1">
      <alignment horizontal="right" vertical="center"/>
    </xf>
    <xf numFmtId="0" fontId="40" fillId="33" borderId="0" xfId="48" applyFont="1" applyFill="1" applyAlignment="1">
      <alignment horizontal="left" vertical="center"/>
    </xf>
    <xf numFmtId="0" fontId="41" fillId="32" borderId="0" xfId="45" applyFont="1" applyFill="1" applyAlignment="1">
      <alignment horizontal="right" vertical="center"/>
    </xf>
    <xf numFmtId="0" fontId="40" fillId="0" borderId="0" xfId="67" applyFont="1" applyAlignment="1">
      <alignment vertical="center"/>
    </xf>
    <xf numFmtId="0" fontId="40" fillId="0" borderId="0" xfId="80" applyFont="1" applyAlignment="1">
      <alignment vertical="center"/>
    </xf>
    <xf numFmtId="0" fontId="40" fillId="0" borderId="0" xfId="60" applyFont="1" applyAlignment="1">
      <alignment vertical="center"/>
    </xf>
    <xf numFmtId="165" fontId="40" fillId="0" borderId="0" xfId="47" applyNumberFormat="1" applyFont="1" applyBorder="1" applyAlignment="1">
      <alignment horizontal="right" vertical="center"/>
    </xf>
    <xf numFmtId="0" fontId="45" fillId="0" borderId="0" xfId="60" applyFont="1" applyAlignment="1">
      <alignment vertical="center"/>
    </xf>
    <xf numFmtId="0" fontId="40" fillId="0" borderId="0" xfId="60" applyFont="1" applyAlignment="1">
      <alignment horizontal="right" vertical="center"/>
    </xf>
    <xf numFmtId="0" fontId="50" fillId="0" borderId="0" xfId="0" applyFont="1" applyAlignment="1">
      <alignment vertical="center"/>
    </xf>
    <xf numFmtId="0" fontId="42" fillId="0" borderId="0" xfId="60" quotePrefix="1" applyFont="1" applyAlignment="1">
      <alignment horizontal="left" vertical="center"/>
    </xf>
    <xf numFmtId="0" fontId="45" fillId="0" borderId="0" xfId="67" applyFont="1" applyAlignment="1">
      <alignment vertical="center"/>
    </xf>
    <xf numFmtId="0" fontId="40" fillId="0" borderId="0" xfId="67" applyFont="1" applyAlignment="1">
      <alignment horizontal="right" vertical="center"/>
    </xf>
    <xf numFmtId="0" fontId="42" fillId="0" borderId="0" xfId="67" quotePrefix="1" applyFont="1" applyAlignment="1">
      <alignment horizontal="left" vertical="center"/>
    </xf>
    <xf numFmtId="0" fontId="45" fillId="0" borderId="0" xfId="80" applyFont="1" applyAlignment="1">
      <alignment vertical="center"/>
    </xf>
    <xf numFmtId="0" fontId="40" fillId="0" borderId="0" xfId="80" applyFont="1" applyAlignment="1">
      <alignment horizontal="right" vertical="center"/>
    </xf>
    <xf numFmtId="0" fontId="42" fillId="0" borderId="0" xfId="80" quotePrefix="1" applyFont="1" applyAlignment="1">
      <alignment horizontal="left" vertical="center"/>
    </xf>
    <xf numFmtId="0" fontId="48" fillId="0" borderId="0" xfId="78" applyNumberFormat="1" applyFont="1" applyFill="1" applyBorder="1" applyAlignment="1">
      <alignment vertical="center"/>
    </xf>
    <xf numFmtId="0" fontId="48" fillId="0" borderId="0" xfId="84" applyNumberFormat="1" applyFont="1" applyFill="1" applyBorder="1" applyAlignment="1">
      <alignment vertical="center"/>
    </xf>
    <xf numFmtId="0" fontId="40" fillId="0" borderId="0" xfId="74" applyFont="1" applyAlignment="1">
      <alignment vertical="center"/>
    </xf>
    <xf numFmtId="0" fontId="40" fillId="0" borderId="0" xfId="72" applyNumberFormat="1" applyFont="1" applyFill="1" applyBorder="1" applyAlignment="1">
      <alignment vertical="center"/>
    </xf>
    <xf numFmtId="0" fontId="40" fillId="0" borderId="0" xfId="88" applyFont="1" applyAlignment="1">
      <alignment vertical="center"/>
    </xf>
    <xf numFmtId="0" fontId="40" fillId="0" borderId="0" xfId="81" applyFont="1" applyAlignment="1">
      <alignment vertical="center"/>
    </xf>
    <xf numFmtId="0" fontId="43" fillId="0" borderId="0" xfId="88" applyFont="1" applyAlignment="1">
      <alignment vertical="center"/>
    </xf>
    <xf numFmtId="0" fontId="41" fillId="0" borderId="0" xfId="88" quotePrefix="1" applyFont="1" applyAlignment="1">
      <alignment horizontal="right" vertical="center"/>
    </xf>
    <xf numFmtId="0" fontId="45" fillId="0" borderId="0" xfId="81" applyFont="1" applyAlignment="1">
      <alignment vertical="center"/>
    </xf>
    <xf numFmtId="0" fontId="40" fillId="0" borderId="0" xfId="81" applyFont="1" applyAlignment="1">
      <alignment horizontal="right" vertical="center"/>
    </xf>
    <xf numFmtId="0" fontId="45" fillId="0" borderId="0" xfId="74" applyFont="1" applyAlignment="1">
      <alignment vertical="center"/>
    </xf>
    <xf numFmtId="0" fontId="40" fillId="0" borderId="0" xfId="74" applyFont="1" applyAlignment="1">
      <alignment horizontal="right" vertical="center"/>
    </xf>
    <xf numFmtId="0" fontId="42" fillId="0" borderId="0" xfId="74" quotePrefix="1" applyFont="1" applyAlignment="1">
      <alignment horizontal="left" vertical="center"/>
    </xf>
    <xf numFmtId="0" fontId="45" fillId="0" borderId="0" xfId="88" applyFont="1" applyAlignment="1">
      <alignment vertical="center"/>
    </xf>
    <xf numFmtId="0" fontId="40" fillId="0" borderId="0" xfId="88" applyFont="1" applyAlignment="1">
      <alignment horizontal="right" vertical="center"/>
    </xf>
    <xf numFmtId="0" fontId="42" fillId="0" borderId="0" xfId="88" quotePrefix="1" applyFont="1" applyAlignment="1">
      <alignment horizontal="left" vertical="center"/>
    </xf>
    <xf numFmtId="0" fontId="40" fillId="0" borderId="0" xfId="90" quotePrefix="1" applyFont="1" applyAlignment="1">
      <alignment horizontal="left" vertical="center"/>
    </xf>
    <xf numFmtId="0" fontId="42" fillId="0" borderId="0" xfId="90" quotePrefix="1" applyFont="1" applyAlignment="1">
      <alignment horizontal="left" vertical="center"/>
    </xf>
    <xf numFmtId="0" fontId="42" fillId="0" borderId="0" xfId="90" applyFont="1" applyAlignment="1">
      <alignment horizontal="left" vertical="center"/>
    </xf>
    <xf numFmtId="0" fontId="40" fillId="0" borderId="0" xfId="90" applyFont="1" applyAlignment="1">
      <alignment vertical="center"/>
    </xf>
    <xf numFmtId="0" fontId="40" fillId="0" borderId="0" xfId="94" applyFont="1" applyAlignment="1">
      <alignment vertical="center"/>
    </xf>
    <xf numFmtId="0" fontId="40" fillId="0" borderId="0" xfId="92" applyFont="1" applyAlignment="1">
      <alignment horizontal="right" vertical="center"/>
    </xf>
    <xf numFmtId="165" fontId="40" fillId="0" borderId="0" xfId="92" applyNumberFormat="1" applyFont="1" applyAlignment="1">
      <alignment horizontal="right" vertical="center"/>
    </xf>
    <xf numFmtId="0" fontId="40" fillId="0" borderId="0" xfId="94" applyFont="1" applyAlignment="1" applyProtection="1">
      <alignment vertical="center"/>
      <protection locked="0"/>
    </xf>
    <xf numFmtId="0" fontId="40" fillId="0" borderId="0" xfId="95" applyFont="1" applyAlignment="1">
      <alignment vertical="center"/>
    </xf>
    <xf numFmtId="3" fontId="40" fillId="0" borderId="0" xfId="93" applyNumberFormat="1" applyFont="1" applyAlignment="1">
      <alignment horizontal="right" vertical="center"/>
    </xf>
    <xf numFmtId="0" fontId="40" fillId="0" borderId="0" xfId="94" applyFont="1" applyAlignment="1">
      <alignment horizontal="left" vertical="center"/>
    </xf>
    <xf numFmtId="2" fontId="40" fillId="0" borderId="0" xfId="94" applyNumberFormat="1" applyFont="1" applyAlignment="1">
      <alignment vertical="center"/>
    </xf>
    <xf numFmtId="2" fontId="40" fillId="0" borderId="0" xfId="94" applyNumberFormat="1" applyFont="1" applyAlignment="1">
      <alignment horizontal="right" vertical="center"/>
    </xf>
    <xf numFmtId="0" fontId="48" fillId="0" borderId="0" xfId="94" applyFont="1" applyAlignment="1">
      <alignment vertical="center"/>
    </xf>
    <xf numFmtId="0" fontId="51" fillId="0" borderId="0" xfId="94" applyFont="1" applyAlignment="1">
      <alignment vertical="center"/>
    </xf>
    <xf numFmtId="0" fontId="46" fillId="0" borderId="0" xfId="94" applyFont="1" applyAlignment="1">
      <alignment horizontal="right" vertical="center"/>
    </xf>
    <xf numFmtId="0" fontId="46" fillId="0" borderId="0" xfId="94" quotePrefix="1" applyFont="1" applyAlignment="1">
      <alignment horizontal="right" vertical="center"/>
    </xf>
    <xf numFmtId="0" fontId="46" fillId="0" borderId="0" xfId="81" applyFont="1" applyAlignment="1">
      <alignment horizontal="left" vertical="center"/>
    </xf>
    <xf numFmtId="0" fontId="48" fillId="0" borderId="0" xfId="81" applyFont="1" applyAlignment="1">
      <alignment vertical="center"/>
    </xf>
    <xf numFmtId="0" fontId="51" fillId="0" borderId="0" xfId="81" applyFont="1" applyAlignment="1">
      <alignment vertical="center"/>
    </xf>
    <xf numFmtId="0" fontId="46" fillId="0" borderId="0" xfId="81" quotePrefix="1" applyFont="1" applyAlignment="1">
      <alignment horizontal="right" vertical="center"/>
    </xf>
    <xf numFmtId="0" fontId="46" fillId="0" borderId="0" xfId="60" applyFont="1" applyAlignment="1">
      <alignment horizontal="left" vertical="center"/>
    </xf>
    <xf numFmtId="0" fontId="48" fillId="0" borderId="0" xfId="60" applyFont="1" applyAlignment="1">
      <alignment vertical="center"/>
    </xf>
    <xf numFmtId="0" fontId="51" fillId="0" borderId="0" xfId="60" applyFont="1" applyAlignment="1">
      <alignment vertical="center"/>
    </xf>
    <xf numFmtId="0" fontId="46" fillId="0" borderId="0" xfId="60" quotePrefix="1" applyFont="1" applyAlignment="1">
      <alignment horizontal="right" vertical="center"/>
    </xf>
    <xf numFmtId="0" fontId="48" fillId="0" borderId="0" xfId="41" applyFont="1" applyAlignment="1">
      <alignment vertical="center"/>
    </xf>
    <xf numFmtId="0" fontId="51" fillId="0" borderId="0" xfId="41" applyFont="1" applyAlignment="1">
      <alignment vertical="center"/>
    </xf>
    <xf numFmtId="0" fontId="46" fillId="0" borderId="0" xfId="41" quotePrefix="1" applyFont="1" applyAlignment="1">
      <alignment horizontal="right" vertical="center"/>
    </xf>
    <xf numFmtId="0" fontId="46" fillId="0" borderId="0" xfId="40" applyFont="1" applyAlignment="1" applyProtection="1">
      <alignment vertical="center"/>
    </xf>
    <xf numFmtId="0" fontId="49" fillId="0" borderId="0" xfId="48" quotePrefix="1" applyFont="1" applyAlignment="1">
      <alignment horizontal="left" vertical="center"/>
    </xf>
    <xf numFmtId="0" fontId="45" fillId="32" borderId="0" xfId="60" applyFont="1" applyFill="1" applyAlignment="1">
      <alignment vertical="center"/>
    </xf>
    <xf numFmtId="0" fontId="40" fillId="32" borderId="0" xfId="60" quotePrefix="1" applyFont="1" applyFill="1" applyAlignment="1">
      <alignment horizontal="right" vertical="center" wrapText="1"/>
    </xf>
    <xf numFmtId="0" fontId="40" fillId="32" borderId="0" xfId="60" applyFont="1" applyFill="1" applyAlignment="1">
      <alignment vertical="center"/>
    </xf>
    <xf numFmtId="0" fontId="40" fillId="32" borderId="0" xfId="60" applyFont="1" applyFill="1" applyAlignment="1">
      <alignment vertical="center" wrapText="1"/>
    </xf>
    <xf numFmtId="0" fontId="40" fillId="32" borderId="0" xfId="60" quotePrefix="1" applyFont="1" applyFill="1" applyAlignment="1">
      <alignment vertical="center"/>
    </xf>
    <xf numFmtId="0" fontId="41" fillId="32" borderId="0" xfId="60" quotePrefix="1" applyFont="1" applyFill="1" applyAlignment="1">
      <alignment horizontal="right" vertical="center"/>
    </xf>
    <xf numFmtId="165" fontId="40" fillId="33" borderId="0" xfId="47" applyNumberFormat="1" applyFont="1" applyFill="1" applyBorder="1" applyAlignment="1">
      <alignment horizontal="right" vertical="center"/>
    </xf>
    <xf numFmtId="0" fontId="40" fillId="33" borderId="0" xfId="48" quotePrefix="1" applyFont="1" applyFill="1" applyAlignment="1">
      <alignment horizontal="left" vertical="center"/>
    </xf>
    <xf numFmtId="0" fontId="48" fillId="0" borderId="0" xfId="67" applyFont="1" applyAlignment="1">
      <alignment vertical="center"/>
    </xf>
    <xf numFmtId="0" fontId="51" fillId="0" borderId="0" xfId="67" applyFont="1" applyAlignment="1">
      <alignment vertical="center"/>
    </xf>
    <xf numFmtId="0" fontId="46" fillId="0" borderId="0" xfId="67" quotePrefix="1" applyFont="1" applyAlignment="1">
      <alignment horizontal="right" vertical="center"/>
    </xf>
    <xf numFmtId="0" fontId="46" fillId="0" borderId="0" xfId="80" applyFont="1" applyAlignment="1">
      <alignment vertical="center"/>
    </xf>
    <xf numFmtId="0" fontId="51" fillId="0" borderId="0" xfId="80" applyFont="1" applyAlignment="1">
      <alignment vertical="center"/>
    </xf>
    <xf numFmtId="0" fontId="46" fillId="0" borderId="0" xfId="80" quotePrefix="1" applyFont="1" applyAlignment="1">
      <alignment horizontal="right" vertical="center"/>
    </xf>
    <xf numFmtId="0" fontId="52" fillId="0" borderId="0" xfId="0" applyFont="1" applyAlignment="1">
      <alignment vertical="center"/>
    </xf>
    <xf numFmtId="0" fontId="41" fillId="32" borderId="0" xfId="81" applyFont="1" applyFill="1" applyAlignment="1">
      <alignment vertical="center"/>
    </xf>
    <xf numFmtId="0" fontId="43" fillId="32" borderId="0" xfId="81" applyFont="1" applyFill="1" applyAlignment="1">
      <alignment vertical="center"/>
    </xf>
    <xf numFmtId="0" fontId="41" fillId="32" borderId="0" xfId="81" quotePrefix="1" applyFont="1" applyFill="1" applyAlignment="1">
      <alignment vertical="center"/>
    </xf>
    <xf numFmtId="0" fontId="41" fillId="32" borderId="0" xfId="81" quotePrefix="1" applyFont="1" applyFill="1" applyAlignment="1">
      <alignment horizontal="right" vertical="center"/>
    </xf>
    <xf numFmtId="0" fontId="48" fillId="0" borderId="0" xfId="74" applyFont="1" applyAlignment="1">
      <alignment vertical="center"/>
    </xf>
    <xf numFmtId="0" fontId="51" fillId="0" borderId="0" xfId="74" applyFont="1" applyAlignment="1">
      <alignment vertical="center"/>
    </xf>
    <xf numFmtId="0" fontId="46" fillId="0" borderId="0" xfId="74" quotePrefix="1" applyFont="1" applyAlignment="1">
      <alignment horizontal="right" vertical="center"/>
    </xf>
    <xf numFmtId="0" fontId="40" fillId="32" borderId="0" xfId="90" applyFont="1" applyFill="1" applyAlignment="1">
      <alignment vertical="center"/>
    </xf>
    <xf numFmtId="0" fontId="40" fillId="32" borderId="0" xfId="60" quotePrefix="1" applyFont="1" applyFill="1" applyAlignment="1">
      <alignment horizontal="right" vertical="center"/>
    </xf>
    <xf numFmtId="0" fontId="40" fillId="32" borderId="0" xfId="90" applyFont="1" applyFill="1" applyAlignment="1">
      <alignment horizontal="right" vertical="center" wrapText="1"/>
    </xf>
    <xf numFmtId="0" fontId="49" fillId="0" borderId="0" xfId="90" quotePrefix="1" applyFont="1" applyAlignment="1">
      <alignment horizontal="left" vertical="center"/>
    </xf>
    <xf numFmtId="0" fontId="40" fillId="0" borderId="0" xfId="90" applyFont="1" applyAlignment="1">
      <alignment horizontal="left" vertical="center"/>
    </xf>
    <xf numFmtId="0" fontId="45" fillId="0" borderId="0" xfId="94" applyFont="1" applyAlignment="1">
      <alignment vertical="center"/>
    </xf>
    <xf numFmtId="0" fontId="40" fillId="0" borderId="0" xfId="94" applyFont="1" applyAlignment="1">
      <alignment horizontal="right" vertical="center"/>
    </xf>
    <xf numFmtId="3" fontId="40" fillId="0" borderId="0" xfId="94" applyNumberFormat="1" applyFont="1" applyAlignment="1">
      <alignment vertical="center"/>
    </xf>
    <xf numFmtId="3" fontId="40" fillId="0" borderId="0" xfId="94" applyNumberFormat="1" applyFont="1" applyAlignment="1">
      <alignment horizontal="right" vertical="center"/>
    </xf>
    <xf numFmtId="0" fontId="40" fillId="0" borderId="0" xfId="94" quotePrefix="1" applyFont="1" applyAlignment="1">
      <alignment horizontal="left" vertical="center"/>
    </xf>
    <xf numFmtId="0" fontId="42" fillId="0" borderId="0" xfId="94" quotePrefix="1" applyFont="1" applyAlignment="1">
      <alignment horizontal="left" vertical="center"/>
    </xf>
    <xf numFmtId="0" fontId="41" fillId="0" borderId="0" xfId="94" applyFont="1" applyAlignment="1">
      <alignment vertical="center"/>
    </xf>
    <xf numFmtId="0" fontId="41" fillId="32" borderId="0" xfId="94" applyFont="1" applyFill="1" applyAlignment="1">
      <alignment horizontal="left" vertical="center"/>
    </xf>
    <xf numFmtId="0" fontId="40" fillId="32" borderId="0" xfId="94" applyFont="1" applyFill="1" applyAlignment="1">
      <alignment horizontal="left" vertical="center"/>
    </xf>
    <xf numFmtId="0" fontId="40" fillId="32" borderId="0" xfId="94" applyFont="1" applyFill="1" applyAlignment="1">
      <alignment horizontal="right" vertical="center"/>
    </xf>
    <xf numFmtId="0" fontId="41" fillId="32" borderId="0" xfId="94" applyFont="1" applyFill="1" applyAlignment="1">
      <alignment horizontal="right" vertical="center"/>
    </xf>
    <xf numFmtId="0" fontId="41" fillId="32" borderId="0" xfId="94" quotePrefix="1" applyFont="1" applyFill="1" applyAlignment="1">
      <alignment horizontal="right" vertical="center" wrapText="1"/>
    </xf>
    <xf numFmtId="0" fontId="38" fillId="0" borderId="0" xfId="40" applyFont="1" applyAlignment="1" applyProtection="1">
      <alignment vertical="center"/>
    </xf>
    <xf numFmtId="0" fontId="40" fillId="33" borderId="0" xfId="94" applyFont="1" applyFill="1" applyAlignment="1">
      <alignment horizontal="left" vertical="center"/>
    </xf>
    <xf numFmtId="0" fontId="40" fillId="33" borderId="0" xfId="92" applyFont="1" applyFill="1" applyAlignment="1">
      <alignment horizontal="right" vertical="center"/>
    </xf>
    <xf numFmtId="3" fontId="40" fillId="33" borderId="0" xfId="94" applyNumberFormat="1" applyFont="1" applyFill="1" applyAlignment="1">
      <alignment vertical="center"/>
    </xf>
    <xf numFmtId="2" fontId="40" fillId="33" borderId="0" xfId="94" applyNumberFormat="1" applyFont="1" applyFill="1" applyAlignment="1">
      <alignment vertical="center"/>
    </xf>
    <xf numFmtId="0" fontId="46" fillId="0" borderId="0" xfId="67" applyFont="1" applyAlignment="1">
      <alignment horizontal="left" vertical="center"/>
    </xf>
    <xf numFmtId="0" fontId="46" fillId="0" borderId="0" xfId="80" applyFont="1" applyAlignment="1">
      <alignment horizontal="left" vertical="center"/>
    </xf>
    <xf numFmtId="0" fontId="46" fillId="0" borderId="0" xfId="74" applyFont="1" applyAlignment="1">
      <alignment horizontal="left" vertical="center"/>
    </xf>
    <xf numFmtId="0" fontId="46" fillId="0" borderId="0" xfId="88" applyFont="1" applyAlignment="1">
      <alignment horizontal="left" vertical="center"/>
    </xf>
    <xf numFmtId="2" fontId="40" fillId="33" borderId="0" xfId="94" applyNumberFormat="1" applyFont="1" applyFill="1" applyAlignment="1">
      <alignment horizontal="right" vertical="center"/>
    </xf>
    <xf numFmtId="0" fontId="42" fillId="32" borderId="0" xfId="60" quotePrefix="1" applyFont="1" applyFill="1" applyAlignment="1">
      <alignment horizontal="right" vertical="center"/>
    </xf>
    <xf numFmtId="0" fontId="42" fillId="32" borderId="0" xfId="94" applyFont="1" applyFill="1" applyAlignment="1">
      <alignment horizontal="right" vertical="center"/>
    </xf>
    <xf numFmtId="165" fontId="42" fillId="0" borderId="0" xfId="92" applyNumberFormat="1" applyFont="1" applyAlignment="1">
      <alignment horizontal="right" vertical="center"/>
    </xf>
    <xf numFmtId="0" fontId="46" fillId="0" borderId="0" xfId="94" applyFont="1" applyAlignment="1">
      <alignment horizontal="left"/>
    </xf>
    <xf numFmtId="0" fontId="40" fillId="32" borderId="0" xfId="81" quotePrefix="1" applyFont="1" applyFill="1" applyAlignment="1">
      <alignment horizontal="right" vertical="center"/>
    </xf>
    <xf numFmtId="0" fontId="40" fillId="32" borderId="0" xfId="81" applyFont="1" applyFill="1" applyAlignment="1">
      <alignment vertical="center"/>
    </xf>
    <xf numFmtId="0" fontId="40" fillId="32" borderId="0" xfId="81" applyFont="1" applyFill="1" applyAlignment="1">
      <alignment horizontal="right" vertical="center"/>
    </xf>
    <xf numFmtId="165" fontId="40" fillId="33" borderId="0" xfId="92" applyNumberFormat="1" applyFont="1" applyFill="1" applyAlignment="1">
      <alignment horizontal="right" vertical="center"/>
    </xf>
    <xf numFmtId="165" fontId="42" fillId="33" borderId="0" xfId="92" applyNumberFormat="1" applyFont="1" applyFill="1" applyAlignment="1">
      <alignment horizontal="right" vertical="center"/>
    </xf>
    <xf numFmtId="0" fontId="57" fillId="0" borderId="0" xfId="48" applyFont="1" applyAlignment="1">
      <alignment horizontal="left" vertical="center"/>
    </xf>
    <xf numFmtId="0" fontId="42" fillId="0" borderId="0" xfId="81" quotePrefix="1" applyFont="1" applyAlignment="1">
      <alignment horizontal="left" vertical="center"/>
    </xf>
    <xf numFmtId="0" fontId="46" fillId="0" borderId="0" xfId="81" applyFont="1" applyAlignment="1">
      <alignment vertical="center"/>
    </xf>
    <xf numFmtId="0" fontId="41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6" fillId="0" borderId="0" xfId="41" applyFont="1" applyAlignment="1">
      <alignment vertical="center"/>
    </xf>
    <xf numFmtId="165" fontId="40" fillId="0" borderId="0" xfId="0" applyNumberFormat="1" applyFont="1" applyAlignment="1">
      <alignment vertical="center"/>
    </xf>
    <xf numFmtId="0" fontId="42" fillId="0" borderId="0" xfId="92" applyFont="1" applyAlignment="1">
      <alignment horizontal="right" vertical="center"/>
    </xf>
    <xf numFmtId="0" fontId="42" fillId="33" borderId="0" xfId="92" applyFont="1" applyFill="1" applyAlignment="1">
      <alignment horizontal="right" vertical="center"/>
    </xf>
    <xf numFmtId="0" fontId="47" fillId="32" borderId="0" xfId="0" applyFont="1" applyFill="1" applyAlignment="1">
      <alignment horizontal="right" vertical="center"/>
    </xf>
    <xf numFmtId="0" fontId="58" fillId="33" borderId="0" xfId="150" applyFont="1" applyFill="1"/>
    <xf numFmtId="0" fontId="39" fillId="33" borderId="0" xfId="150" applyFill="1" applyAlignment="1">
      <alignment vertical="center"/>
    </xf>
    <xf numFmtId="0" fontId="59" fillId="33" borderId="0" xfId="40" applyFont="1" applyFill="1" applyAlignment="1" applyProtection="1"/>
    <xf numFmtId="0" fontId="60" fillId="33" borderId="0" xfId="40" applyFont="1" applyFill="1" applyAlignment="1" applyProtection="1"/>
    <xf numFmtId="165" fontId="44" fillId="0" borderId="0" xfId="0" applyNumberFormat="1" applyFont="1" applyAlignment="1">
      <alignment vertical="center"/>
    </xf>
    <xf numFmtId="166" fontId="4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6" fontId="40" fillId="0" borderId="0" xfId="0" applyNumberFormat="1" applyFont="1" applyAlignment="1">
      <alignment vertical="center"/>
    </xf>
    <xf numFmtId="0" fontId="46" fillId="0" borderId="0" xfId="97" applyFont="1" applyAlignment="1">
      <alignment horizontal="left" vertical="center"/>
    </xf>
    <xf numFmtId="0" fontId="48" fillId="0" borderId="0" xfId="97" applyFont="1" applyAlignment="1">
      <alignment vertical="center"/>
    </xf>
    <xf numFmtId="0" fontId="51" fillId="0" borderId="0" xfId="97" applyFont="1" applyAlignment="1">
      <alignment vertical="center"/>
    </xf>
    <xf numFmtId="0" fontId="46" fillId="0" borderId="0" xfId="97" quotePrefix="1" applyFont="1" applyAlignment="1">
      <alignment horizontal="right" vertical="center"/>
    </xf>
    <xf numFmtId="0" fontId="48" fillId="0" borderId="0" xfId="98" applyNumberFormat="1" applyFont="1" applyFill="1" applyBorder="1" applyAlignment="1">
      <alignment vertical="center"/>
    </xf>
    <xf numFmtId="0" fontId="61" fillId="0" borderId="0" xfId="98" applyNumberFormat="1" applyFont="1" applyFill="1" applyBorder="1" applyAlignment="1">
      <alignment vertical="center"/>
    </xf>
    <xf numFmtId="0" fontId="40" fillId="0" borderId="0" xfId="97" applyFont="1" applyAlignment="1">
      <alignment horizontal="left"/>
    </xf>
    <xf numFmtId="0" fontId="41" fillId="0" borderId="0" xfId="97" quotePrefix="1" applyFont="1" applyAlignment="1">
      <alignment horizontal="left" vertical="center"/>
    </xf>
    <xf numFmtId="0" fontId="40" fillId="0" borderId="0" xfId="97" applyFont="1" applyAlignment="1">
      <alignment vertical="center"/>
    </xf>
    <xf numFmtId="0" fontId="43" fillId="0" borderId="0" xfId="97" applyFont="1" applyAlignment="1">
      <alignment vertical="center"/>
    </xf>
    <xf numFmtId="0" fontId="41" fillId="0" borderId="0" xfId="97" quotePrefix="1" applyFont="1" applyAlignment="1">
      <alignment horizontal="right" vertical="center"/>
    </xf>
    <xf numFmtId="0" fontId="40" fillId="0" borderId="0" xfId="98" applyNumberFormat="1" applyFont="1" applyFill="1" applyBorder="1" applyAlignment="1">
      <alignment vertical="center"/>
    </xf>
    <xf numFmtId="0" fontId="45" fillId="0" borderId="0" xfId="98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1" fillId="32" borderId="0" xfId="97" applyFont="1" applyFill="1" applyAlignment="1">
      <alignment vertical="center"/>
    </xf>
    <xf numFmtId="165" fontId="41" fillId="32" borderId="0" xfId="99" applyNumberFormat="1" applyFont="1" applyFill="1" applyAlignment="1">
      <alignment vertical="center"/>
    </xf>
    <xf numFmtId="165" fontId="41" fillId="32" borderId="0" xfId="99" applyNumberFormat="1" applyFont="1" applyFill="1" applyAlignment="1">
      <alignment horizontal="right" vertical="center"/>
    </xf>
    <xf numFmtId="165" fontId="41" fillId="32" borderId="0" xfId="99" quotePrefix="1" applyNumberFormat="1" applyFont="1" applyFill="1" applyAlignment="1">
      <alignment vertical="center"/>
    </xf>
    <xf numFmtId="165" fontId="41" fillId="32" borderId="0" xfId="99" quotePrefix="1" applyNumberFormat="1" applyFont="1" applyFill="1" applyAlignment="1">
      <alignment horizontal="right" vertical="center"/>
    </xf>
    <xf numFmtId="165" fontId="40" fillId="32" borderId="0" xfId="97" applyNumberFormat="1" applyFont="1" applyFill="1" applyAlignment="1">
      <alignment horizontal="left" vertical="center"/>
    </xf>
    <xf numFmtId="165" fontId="40" fillId="32" borderId="0" xfId="97" quotePrefix="1" applyNumberFormat="1" applyFont="1" applyFill="1" applyAlignment="1">
      <alignment horizontal="right" vertical="center"/>
    </xf>
    <xf numFmtId="165" fontId="40" fillId="32" borderId="0" xfId="97" applyNumberFormat="1" applyFont="1" applyFill="1" applyAlignment="1">
      <alignment horizontal="right" vertical="center"/>
    </xf>
    <xf numFmtId="0" fontId="40" fillId="0" borderId="0" xfId="97" applyFont="1" applyAlignment="1">
      <alignment horizontal="left" vertical="center"/>
    </xf>
    <xf numFmtId="165" fontId="40" fillId="0" borderId="0" xfId="97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40" fillId="33" borderId="0" xfId="97" applyFont="1" applyFill="1" applyAlignment="1">
      <alignment horizontal="left" vertical="center"/>
    </xf>
    <xf numFmtId="165" fontId="40" fillId="33" borderId="0" xfId="97" applyNumberFormat="1" applyFont="1" applyFill="1" applyAlignment="1">
      <alignment vertical="center"/>
    </xf>
    <xf numFmtId="0" fontId="42" fillId="0" borderId="0" xfId="97" quotePrefix="1" applyFont="1" applyAlignment="1">
      <alignment horizontal="left" vertical="center"/>
    </xf>
    <xf numFmtId="0" fontId="41" fillId="0" borderId="0" xfId="97" applyFont="1" applyAlignment="1">
      <alignment vertical="center"/>
    </xf>
    <xf numFmtId="0" fontId="25" fillId="0" borderId="0" xfId="0" applyFont="1" applyAlignment="1">
      <alignment horizontal="left" vertical="center"/>
    </xf>
    <xf numFmtId="3" fontId="25" fillId="0" borderId="0" xfId="0" applyNumberFormat="1" applyFont="1" applyAlignment="1">
      <alignment vertical="center"/>
    </xf>
    <xf numFmtId="3" fontId="25" fillId="0" borderId="0" xfId="0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0" fontId="40" fillId="32" borderId="0" xfId="45" applyFont="1" applyFill="1" applyAlignment="1">
      <alignment horizontal="right" vertical="center"/>
    </xf>
    <xf numFmtId="0" fontId="40" fillId="33" borderId="0" xfId="48" applyFont="1" applyFill="1">
      <alignment horizontal="left"/>
    </xf>
    <xf numFmtId="166" fontId="40" fillId="33" borderId="0" xfId="47" applyFont="1" applyFill="1" applyBorder="1">
      <alignment horizontal="right"/>
    </xf>
    <xf numFmtId="168" fontId="40" fillId="33" borderId="0" xfId="47" applyNumberFormat="1" applyFont="1" applyFill="1" applyBorder="1">
      <alignment horizontal="right"/>
    </xf>
    <xf numFmtId="0" fontId="40" fillId="0" borderId="0" xfId="48" applyFont="1">
      <alignment horizontal="left"/>
    </xf>
    <xf numFmtId="166" fontId="40" fillId="0" borderId="0" xfId="47" applyFont="1" applyBorder="1">
      <alignment horizontal="right"/>
    </xf>
    <xf numFmtId="168" fontId="40" fillId="0" borderId="0" xfId="47" applyNumberFormat="1" applyFont="1" applyBorder="1">
      <alignment horizontal="right"/>
    </xf>
    <xf numFmtId="0" fontId="40" fillId="0" borderId="0" xfId="48" quotePrefix="1" applyFont="1">
      <alignment horizontal="left"/>
    </xf>
    <xf numFmtId="0" fontId="40" fillId="0" borderId="0" xfId="0" applyFont="1" applyAlignment="1">
      <alignment horizontal="left" vertical="center"/>
    </xf>
    <xf numFmtId="0" fontId="42" fillId="0" borderId="0" xfId="95" applyFont="1" applyAlignment="1">
      <alignment horizontal="right" vertical="center"/>
    </xf>
    <xf numFmtId="3" fontId="42" fillId="0" borderId="0" xfId="94" applyNumberFormat="1" applyFont="1" applyAlignment="1">
      <alignment vertical="center"/>
    </xf>
    <xf numFmtId="0" fontId="42" fillId="0" borderId="0" xfId="95" applyFont="1" applyAlignment="1">
      <alignment vertical="center"/>
    </xf>
    <xf numFmtId="0" fontId="42" fillId="0" borderId="0" xfId="94" applyFont="1" applyAlignment="1" applyProtection="1">
      <alignment vertical="center"/>
      <protection locked="0"/>
    </xf>
    <xf numFmtId="0" fontId="41" fillId="32" borderId="0" xfId="41" applyFont="1" applyFill="1" applyAlignment="1">
      <alignment vertical="center"/>
    </xf>
    <xf numFmtId="3" fontId="41" fillId="32" borderId="0" xfId="41" applyNumberFormat="1" applyFont="1" applyFill="1" applyAlignment="1">
      <alignment horizontal="right" vertical="center"/>
    </xf>
    <xf numFmtId="0" fontId="40" fillId="33" borderId="0" xfId="41" applyFont="1" applyFill="1" applyAlignment="1">
      <alignment vertical="center"/>
    </xf>
    <xf numFmtId="3" fontId="40" fillId="33" borderId="0" xfId="41" applyNumberFormat="1" applyFont="1" applyFill="1" applyAlignment="1">
      <alignment vertical="center"/>
    </xf>
    <xf numFmtId="0" fontId="40" fillId="33" borderId="0" xfId="0" applyFont="1" applyFill="1" applyAlignment="1">
      <alignment vertical="center"/>
    </xf>
    <xf numFmtId="3" fontId="40" fillId="33" borderId="0" xfId="0" applyNumberFormat="1" applyFont="1" applyFill="1"/>
    <xf numFmtId="3" fontId="40" fillId="0" borderId="0" xfId="41" applyNumberFormat="1" applyFont="1" applyAlignment="1">
      <alignment horizontal="right" vertical="center"/>
    </xf>
    <xf numFmtId="16" fontId="40" fillId="0" borderId="0" xfId="0" quotePrefix="1" applyNumberFormat="1" applyFont="1" applyAlignment="1">
      <alignment horizontal="left" vertical="center"/>
    </xf>
    <xf numFmtId="0" fontId="40" fillId="0" borderId="0" xfId="41" applyFont="1" applyAlignment="1">
      <alignment vertical="center" wrapText="1"/>
    </xf>
    <xf numFmtId="0" fontId="2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169" fontId="0" fillId="0" borderId="0" xfId="0" applyNumberFormat="1"/>
    <xf numFmtId="0" fontId="1" fillId="0" borderId="0" xfId="0" applyFont="1" applyAlignment="1">
      <alignment vertical="center"/>
    </xf>
    <xf numFmtId="165" fontId="40" fillId="33" borderId="0" xfId="0" applyNumberFormat="1" applyFont="1" applyFill="1" applyAlignment="1">
      <alignment vertical="center"/>
    </xf>
    <xf numFmtId="2" fontId="44" fillId="0" borderId="0" xfId="0" applyNumberFormat="1" applyFont="1" applyAlignment="1">
      <alignment vertical="center"/>
    </xf>
    <xf numFmtId="0" fontId="40" fillId="0" borderId="0" xfId="48" applyFont="1" applyAlignment="1">
      <alignment horizontal="left" vertical="center" wrapText="1"/>
    </xf>
  </cellXfs>
  <cellStyles count="153">
    <cellStyle name="20% - Accent1" xfId="17" builtinId="30" customBuiltin="1"/>
    <cellStyle name="20% - Accent2" xfId="21" builtinId="34" customBuiltin="1"/>
    <cellStyle name="20% - Accent3" xfId="25" builtinId="38" customBuiltin="1"/>
    <cellStyle name="20% - Accent4" xfId="29" builtinId="42" customBuiltin="1"/>
    <cellStyle name="20% - Accent5" xfId="33" builtinId="46" customBuiltin="1"/>
    <cellStyle name="20% - Accent6" xfId="37" builtinId="50" customBuiltin="1"/>
    <cellStyle name="40% - Accent1" xfId="18" builtinId="31" customBuiltin="1"/>
    <cellStyle name="40% - Accent2" xfId="22" builtinId="35" customBuiltin="1"/>
    <cellStyle name="40% - Accent3" xfId="26" builtinId="39" customBuiltin="1"/>
    <cellStyle name="40% - Accent4" xfId="30" builtinId="43" customBuiltin="1"/>
    <cellStyle name="40% - Accent5" xfId="34" builtinId="47" customBuiltin="1"/>
    <cellStyle name="40% - Accent6" xfId="38" builtinId="51" customBuiltin="1"/>
    <cellStyle name="60% - Accent1" xfId="19" builtinId="32" customBuiltin="1"/>
    <cellStyle name="60% - Accent2" xfId="23" builtinId="36" customBuiltin="1"/>
    <cellStyle name="60% - Accent3" xfId="27" builtinId="40" customBuiltin="1"/>
    <cellStyle name="60% - Accent4" xfId="31" builtinId="44" customBuiltin="1"/>
    <cellStyle name="60% - Accent5" xfId="35" builtinId="48" customBuiltin="1"/>
    <cellStyle name="60% - Accent6" xfId="39" builtinId="52" customBuiltin="1"/>
    <cellStyle name="Accent1" xfId="16" builtinId="29" customBuiltin="1"/>
    <cellStyle name="Accent2" xfId="20" builtinId="33" customBuiltin="1"/>
    <cellStyle name="Accent3" xfId="24" builtinId="37" customBuiltin="1"/>
    <cellStyle name="Accent4" xfId="28" builtinId="41" customBuiltin="1"/>
    <cellStyle name="Accent5" xfId="32" builtinId="45" customBuiltin="1"/>
    <cellStyle name="Accent6" xfId="36" builtinId="49" customBuiltin="1"/>
    <cellStyle name="Arial 8 bold Nombre" xfId="46" xr:uid="{00000000-0005-0000-0000-000018000000}"/>
    <cellStyle name="Arial 8 Nombre" xfId="47" xr:uid="{00000000-0005-0000-0000-000019000000}"/>
    <cellStyle name="Arial 8 Texte" xfId="48" xr:uid="{00000000-0005-0000-0000-00001A000000}"/>
    <cellStyle name="Arial 9 - Titre bas" xfId="49" xr:uid="{00000000-0005-0000-0000-00001B000000}"/>
    <cellStyle name="Arial 9 Bold Titre No" xfId="50" xr:uid="{00000000-0005-0000-0000-00001C000000}"/>
    <cellStyle name="Bad" xfId="6" builtinId="27" customBuiltin="1"/>
    <cellStyle name="Calculation" xfId="10" builtinId="22" customBuiltin="1"/>
    <cellStyle name="Check Cell" xfId="12" builtinId="23" customBuiltin="1"/>
    <cellStyle name="Commentaire 2" xfId="106" xr:uid="{00000000-0005-0000-0000-000021000000}"/>
    <cellStyle name="Commentaire 3" xfId="114" xr:uid="{00000000-0005-0000-0000-000022000000}"/>
    <cellStyle name="Commentaire 4" xfId="117" xr:uid="{00000000-0005-0000-0000-000023000000}"/>
    <cellStyle name="En-tête A8 bord" xfId="51" xr:uid="{00000000-0005-0000-0000-000024000000}"/>
    <cellStyle name="En-tête A8 bordure bas" xfId="52" xr:uid="{00000000-0005-0000-0000-000025000000}"/>
    <cellStyle name="En-tête A8 sans bord" xfId="53" xr:uid="{00000000-0005-0000-0000-000026000000}"/>
    <cellStyle name="Euro" xfId="54" xr:uid="{00000000-0005-0000-0000-000028000000}"/>
    <cellStyle name="Explanatory Text" xfId="14" builtinId="53" customBuiltin="1"/>
    <cellStyle name="Followed Hyperlink" xfId="57" builtinId="9" customBuiltin="1"/>
    <cellStyle name="Good" xfId="5" builtinId="26" customBuiltin="1"/>
    <cellStyle name="Gras italique texte" xfId="55" xr:uid="{00000000-0005-0000-0000-000029000000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40" builtinId="8"/>
    <cellStyle name="Input" xfId="8" builtinId="20" customBuiltin="1"/>
    <cellStyle name="Lien hypertexte 10" xfId="76" xr:uid="{00000000-0005-0000-0000-00002C000000}"/>
    <cellStyle name="Lien hypertexte 11" xfId="82" xr:uid="{00000000-0005-0000-0000-00002D000000}"/>
    <cellStyle name="Lien hypertexte 12" xfId="71" xr:uid="{00000000-0005-0000-0000-00002E000000}"/>
    <cellStyle name="Lien hypertexte 13" xfId="83" xr:uid="{00000000-0005-0000-0000-00002F000000}"/>
    <cellStyle name="Lien hypertexte 14" xfId="89" xr:uid="{00000000-0005-0000-0000-000030000000}"/>
    <cellStyle name="Lien hypertexte 2" xfId="56" xr:uid="{00000000-0005-0000-0000-000031000000}"/>
    <cellStyle name="Lien hypertexte 3" xfId="63" xr:uid="{00000000-0005-0000-0000-000032000000}"/>
    <cellStyle name="Lien hypertexte 4" xfId="43" xr:uid="{00000000-0005-0000-0000-000033000000}"/>
    <cellStyle name="Lien hypertexte 5" xfId="62" xr:uid="{00000000-0005-0000-0000-000034000000}"/>
    <cellStyle name="Lien hypertexte 7" xfId="69" xr:uid="{00000000-0005-0000-0000-000035000000}"/>
    <cellStyle name="Lien hypertexte 8" xfId="75" xr:uid="{00000000-0005-0000-0000-000036000000}"/>
    <cellStyle name="Lien hypertexte 9" xfId="59" xr:uid="{00000000-0005-0000-0000-000037000000}"/>
    <cellStyle name="Linked Cell" xfId="11" builtinId="24" customBuiltin="1"/>
    <cellStyle name="Milliers 10" xfId="84" xr:uid="{00000000-0005-0000-0000-000039000000}"/>
    <cellStyle name="Milliers 11" xfId="72" xr:uid="{00000000-0005-0000-0000-00003A000000}"/>
    <cellStyle name="Milliers 15" xfId="96" xr:uid="{00000000-0005-0000-0000-00003B000000}"/>
    <cellStyle name="Milliers 2" xfId="98" xr:uid="{00000000-0005-0000-0000-00003C000000}"/>
    <cellStyle name="Milliers 9" xfId="78" xr:uid="{00000000-0005-0000-0000-00003D000000}"/>
    <cellStyle name="Monétaire [0] 10" xfId="85" xr:uid="{00000000-0005-0000-0000-00003E000000}"/>
    <cellStyle name="Monétaire [0] 11" xfId="73" xr:uid="{00000000-0005-0000-0000-00003F000000}"/>
    <cellStyle name="Monétaire [0] 12" xfId="86" xr:uid="{00000000-0005-0000-0000-000040000000}"/>
    <cellStyle name="Monétaire [0] 13" xfId="91" xr:uid="{00000000-0005-0000-0000-000041000000}"/>
    <cellStyle name="Monétaire [0] 2" xfId="58" xr:uid="{00000000-0005-0000-0000-000042000000}"/>
    <cellStyle name="Monétaire [0] 3" xfId="64" xr:uid="{00000000-0005-0000-0000-000043000000}"/>
    <cellStyle name="Monétaire [0] 4" xfId="44" xr:uid="{00000000-0005-0000-0000-000044000000}"/>
    <cellStyle name="Monétaire [0] 5" xfId="65" xr:uid="{00000000-0005-0000-0000-000045000000}"/>
    <cellStyle name="Monétaire [0] 6" xfId="70" xr:uid="{00000000-0005-0000-0000-000046000000}"/>
    <cellStyle name="Monétaire [0] 7" xfId="77" xr:uid="{00000000-0005-0000-0000-000047000000}"/>
    <cellStyle name="Monétaire [0] 8" xfId="42" xr:uid="{00000000-0005-0000-0000-000048000000}"/>
    <cellStyle name="Monétaire [0] 9" xfId="79" xr:uid="{00000000-0005-0000-0000-000049000000}"/>
    <cellStyle name="Neutral" xfId="7" builtinId="28" customBuiltin="1"/>
    <cellStyle name="Normal" xfId="0" builtinId="0"/>
    <cellStyle name="Normal 10" xfId="81" xr:uid="{00000000-0005-0000-0000-00004C000000}"/>
    <cellStyle name="Normal 11" xfId="74" xr:uid="{00000000-0005-0000-0000-00004D000000}"/>
    <cellStyle name="Normal 12" xfId="88" xr:uid="{00000000-0005-0000-0000-00004E000000}"/>
    <cellStyle name="Normal 13" xfId="90" xr:uid="{00000000-0005-0000-0000-00004F000000}"/>
    <cellStyle name="Normal 14" xfId="87" xr:uid="{00000000-0005-0000-0000-000050000000}"/>
    <cellStyle name="Normal 15" xfId="94" xr:uid="{00000000-0005-0000-0000-000051000000}"/>
    <cellStyle name="Normal 16" xfId="95" xr:uid="{00000000-0005-0000-0000-000052000000}"/>
    <cellStyle name="Normal 17" xfId="97" xr:uid="{00000000-0005-0000-0000-000053000000}"/>
    <cellStyle name="Normal 18" xfId="99" xr:uid="{00000000-0005-0000-0000-000054000000}"/>
    <cellStyle name="Normal 2" xfId="41" xr:uid="{00000000-0005-0000-0000-000055000000}"/>
    <cellStyle name="Normal 2 10" xfId="109" xr:uid="{00000000-0005-0000-0000-000056000000}"/>
    <cellStyle name="Normal 2 11" xfId="127" xr:uid="{00000000-0005-0000-0000-000057000000}"/>
    <cellStyle name="Normal 2 12" xfId="125" xr:uid="{00000000-0005-0000-0000-000058000000}"/>
    <cellStyle name="Normal 2 13" xfId="129" xr:uid="{00000000-0005-0000-0000-000059000000}"/>
    <cellStyle name="Normal 2 14" xfId="122" xr:uid="{00000000-0005-0000-0000-00005A000000}"/>
    <cellStyle name="Normal 2 15" xfId="124" xr:uid="{00000000-0005-0000-0000-00005B000000}"/>
    <cellStyle name="Normal 2 16" xfId="130" xr:uid="{00000000-0005-0000-0000-00005C000000}"/>
    <cellStyle name="Normal 2 17" xfId="126" xr:uid="{00000000-0005-0000-0000-00005D000000}"/>
    <cellStyle name="Normal 2 18" xfId="123" xr:uid="{00000000-0005-0000-0000-00005E000000}"/>
    <cellStyle name="Normal 2 19" xfId="128" xr:uid="{00000000-0005-0000-0000-00005F000000}"/>
    <cellStyle name="Normal 2 2" xfId="103" xr:uid="{00000000-0005-0000-0000-000060000000}"/>
    <cellStyle name="Normal 2 20" xfId="133" xr:uid="{00000000-0005-0000-0000-000061000000}"/>
    <cellStyle name="Normal 2 21" xfId="132" xr:uid="{00000000-0005-0000-0000-000062000000}"/>
    <cellStyle name="Normal 2 22" xfId="131" xr:uid="{00000000-0005-0000-0000-000063000000}"/>
    <cellStyle name="Normal 2 23" xfId="134" xr:uid="{00000000-0005-0000-0000-000064000000}"/>
    <cellStyle name="Normal 2 24" xfId="135" xr:uid="{00000000-0005-0000-0000-000065000000}"/>
    <cellStyle name="Normal 2 25" xfId="136" xr:uid="{00000000-0005-0000-0000-000066000000}"/>
    <cellStyle name="Normal 2 26" xfId="137" xr:uid="{00000000-0005-0000-0000-000067000000}"/>
    <cellStyle name="Normal 2 27" xfId="138" xr:uid="{00000000-0005-0000-0000-000068000000}"/>
    <cellStyle name="Normal 2 28" xfId="139" xr:uid="{00000000-0005-0000-0000-000069000000}"/>
    <cellStyle name="Normal 2 29" xfId="140" xr:uid="{00000000-0005-0000-0000-00006A000000}"/>
    <cellStyle name="Normal 2 3" xfId="105" xr:uid="{00000000-0005-0000-0000-00006B000000}"/>
    <cellStyle name="Normal 2 30" xfId="141" xr:uid="{00000000-0005-0000-0000-00006C000000}"/>
    <cellStyle name="Normal 2 31" xfId="142" xr:uid="{00000000-0005-0000-0000-00006D000000}"/>
    <cellStyle name="Normal 2 32" xfId="143" xr:uid="{00000000-0005-0000-0000-00006E000000}"/>
    <cellStyle name="Normal 2 33" xfId="144" xr:uid="{00000000-0005-0000-0000-00006F000000}"/>
    <cellStyle name="Normal 2 34" xfId="145" xr:uid="{00000000-0005-0000-0000-000070000000}"/>
    <cellStyle name="Normal 2 35" xfId="146" xr:uid="{00000000-0005-0000-0000-000071000000}"/>
    <cellStyle name="Normal 2 36" xfId="147" xr:uid="{00000000-0005-0000-0000-000072000000}"/>
    <cellStyle name="Normal 2 37" xfId="148" xr:uid="{00000000-0005-0000-0000-000073000000}"/>
    <cellStyle name="Normal 2 4" xfId="104" xr:uid="{00000000-0005-0000-0000-000074000000}"/>
    <cellStyle name="Normal 2 5" xfId="112" xr:uid="{00000000-0005-0000-0000-000075000000}"/>
    <cellStyle name="Normal 2 6" xfId="111" xr:uid="{00000000-0005-0000-0000-000076000000}"/>
    <cellStyle name="Normal 2 7" xfId="115" xr:uid="{00000000-0005-0000-0000-000077000000}"/>
    <cellStyle name="Normal 2 8" xfId="107" xr:uid="{00000000-0005-0000-0000-000078000000}"/>
    <cellStyle name="Normal 2 9" xfId="110" xr:uid="{00000000-0005-0000-0000-000079000000}"/>
    <cellStyle name="Normal 23" xfId="150" xr:uid="{00000000-0005-0000-0000-00007A000000}"/>
    <cellStyle name="Normal 3" xfId="45" xr:uid="{00000000-0005-0000-0000-00007B000000}"/>
    <cellStyle name="Normal 3 2" xfId="113" xr:uid="{00000000-0005-0000-0000-00007C000000}"/>
    <cellStyle name="Normal 3 3" xfId="118" xr:uid="{00000000-0005-0000-0000-00007D000000}"/>
    <cellStyle name="Normal 3 4" xfId="120" xr:uid="{00000000-0005-0000-0000-00007E000000}"/>
    <cellStyle name="Normal 3 5" xfId="121" xr:uid="{00000000-0005-0000-0000-00007F000000}"/>
    <cellStyle name="Normal 4" xfId="66" xr:uid="{00000000-0005-0000-0000-000080000000}"/>
    <cellStyle name="Normal 4 2" xfId="116" xr:uid="{00000000-0005-0000-0000-000081000000}"/>
    <cellStyle name="Normal 4 3" xfId="119" xr:uid="{00000000-0005-0000-0000-000082000000}"/>
    <cellStyle name="Normal 4 4" xfId="108" xr:uid="{00000000-0005-0000-0000-000083000000}"/>
    <cellStyle name="Normal 4 5" xfId="149" xr:uid="{00000000-0005-0000-0000-000084000000}"/>
    <cellStyle name="Normal 4 5 2 3" xfId="151" xr:uid="{00000000-0005-0000-0000-000085000000}"/>
    <cellStyle name="Normal 5" xfId="68" xr:uid="{00000000-0005-0000-0000-000086000000}"/>
    <cellStyle name="Normal 6" xfId="61" xr:uid="{00000000-0005-0000-0000-000087000000}"/>
    <cellStyle name="Normal 7" xfId="60" xr:uid="{00000000-0005-0000-0000-000088000000}"/>
    <cellStyle name="Normal 8" xfId="67" xr:uid="{00000000-0005-0000-0000-000089000000}"/>
    <cellStyle name="Normal 9" xfId="80" xr:uid="{00000000-0005-0000-0000-00008A000000}"/>
    <cellStyle name="Normal_Com_parc_resum" xfId="93" xr:uid="{00000000-0005-0000-0000-00008B000000}"/>
    <cellStyle name="Normal_Couleur graph" xfId="92" xr:uid="{00000000-0005-0000-0000-00008C000000}"/>
    <cellStyle name="Note" xfId="101" builtinId="10" customBuiltin="1"/>
    <cellStyle name="Output" xfId="9" builtinId="21" customBuiltin="1"/>
    <cellStyle name="Standard 2" xfId="152" xr:uid="{00000000-0005-0000-0000-00008F000000}"/>
    <cellStyle name="Standard_GWS09_StatLex_Gde_101210" xfId="102" xr:uid="{00000000-0005-0000-0000-000090000000}"/>
    <cellStyle name="Title" xfId="100" builtinId="15" customBuiltin="1"/>
    <cellStyle name="Total" xfId="15" builtinId="25" customBuiltin="1"/>
    <cellStyle name="Warning Text" xfId="13" builtinId="11" customBuiltin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1839310</xdr:colOff>
      <xdr:row>1</xdr:row>
      <xdr:rowOff>159544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08" r="2395" b="22624"/>
        <a:stretch/>
      </xdr:blipFill>
      <xdr:spPr>
        <a:xfrm>
          <a:off x="0" y="0"/>
          <a:ext cx="1839310" cy="330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que@lausanne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26"/>
  <sheetViews>
    <sheetView zoomScaleNormal="100" workbookViewId="0">
      <selection activeCell="A14" sqref="A14"/>
    </sheetView>
  </sheetViews>
  <sheetFormatPr baseColWidth="10" defaultColWidth="11.5" defaultRowHeight="13.5" customHeight="1"/>
  <cols>
    <col min="1" max="1" width="83.6640625" style="4" customWidth="1"/>
    <col min="2" max="16384" width="11.5" style="4"/>
  </cols>
  <sheetData>
    <row r="5" spans="1:2" ht="13.5" customHeight="1">
      <c r="A5" s="3" t="s">
        <v>107</v>
      </c>
    </row>
    <row r="6" spans="1:2" ht="13.5" customHeight="1">
      <c r="A6" s="3" t="s">
        <v>108</v>
      </c>
    </row>
    <row r="7" spans="1:2" ht="13.5" customHeight="1">
      <c r="A7" s="3" t="s">
        <v>109</v>
      </c>
    </row>
    <row r="8" spans="1:2" ht="13.5" customHeight="1">
      <c r="A8" s="3" t="s">
        <v>110</v>
      </c>
    </row>
    <row r="9" spans="1:2" ht="13.5" customHeight="1">
      <c r="A9" s="3" t="s">
        <v>192</v>
      </c>
    </row>
    <row r="10" spans="1:2" ht="13.5" customHeight="1">
      <c r="A10" s="3"/>
    </row>
    <row r="11" spans="1:2" ht="13.5" customHeight="1">
      <c r="A11" s="138" t="s">
        <v>58</v>
      </c>
    </row>
    <row r="12" spans="1:2" ht="13.5" customHeight="1">
      <c r="A12" s="3"/>
    </row>
    <row r="14" spans="1:2" ht="13.5" customHeight="1">
      <c r="A14" s="5"/>
    </row>
    <row r="16" spans="1:2" ht="13.5" customHeight="1">
      <c r="A16" s="1" t="s">
        <v>0</v>
      </c>
      <c r="B16" s="6"/>
    </row>
    <row r="17" spans="1:2" ht="13.5" customHeight="1">
      <c r="A17" s="97"/>
      <c r="B17" s="6"/>
    </row>
    <row r="18" spans="1:2" s="6" customFormat="1" ht="13.5" customHeight="1">
      <c r="A18" s="2" t="s">
        <v>95</v>
      </c>
    </row>
    <row r="19" spans="1:2" s="6" customFormat="1" ht="13.5" customHeight="1">
      <c r="A19" s="2" t="s">
        <v>86</v>
      </c>
    </row>
    <row r="20" spans="1:2" s="6" customFormat="1" ht="13.5" customHeight="1">
      <c r="A20" s="2" t="s">
        <v>135</v>
      </c>
    </row>
    <row r="21" spans="1:2" s="6" customFormat="1" ht="13.5" customHeight="1">
      <c r="A21" s="2" t="s">
        <v>136</v>
      </c>
    </row>
    <row r="22" spans="1:2" s="6" customFormat="1" ht="13.5" customHeight="1">
      <c r="A22" s="2" t="s">
        <v>210</v>
      </c>
    </row>
    <row r="23" spans="1:2" s="6" customFormat="1" ht="13.5" customHeight="1">
      <c r="A23" s="2" t="s">
        <v>165</v>
      </c>
    </row>
    <row r="24" spans="1:2" s="6" customFormat="1" ht="13.5" customHeight="1">
      <c r="A24" s="2" t="s">
        <v>213</v>
      </c>
    </row>
    <row r="25" spans="1:2" s="6" customFormat="1" ht="13.5" customHeight="1">
      <c r="A25" s="2" t="s">
        <v>166</v>
      </c>
    </row>
    <row r="26" spans="1:2" ht="13.5" customHeight="1">
      <c r="A26" s="2"/>
    </row>
  </sheetData>
  <hyperlinks>
    <hyperlink ref="A22" location="T09.01.05!A1" display="09.01.05 Ville de Lausanne - Parc des bâtiments selon les principales caractéristiques, par taille des bâtiments, 2011-2013" xr:uid="{00000000-0004-0000-0000-000000000000}"/>
    <hyperlink ref="A20" location="T09.01.03!A1" display="09.01.03 Ville de Lausanne - Parc de logements selon les principales caractéristiques, par nombre de pièces, 2011-2013" xr:uid="{00000000-0004-0000-0000-000001000000}"/>
    <hyperlink ref="A21" location="T09.01.04!A1" display="09.01.04 Ville de Lausanne - Parc de logements selon les principales caractéristiques, par surface, 2011-2013" xr:uid="{00000000-0004-0000-0000-000002000000}"/>
    <hyperlink ref="A18" location="T09.01.01!A1" display="09.01.01 Ville de Lausanne - Parc de logements selon le nombre de pièces, 1971-2014" xr:uid="{00000000-0004-0000-0000-000003000000}"/>
    <hyperlink ref="A19" location="T09.01.02!A1" display="09.01.02 Ville de Lausanne - Logements vacants selon la taille, dès 1979" xr:uid="{00000000-0004-0000-0000-000004000000}"/>
    <hyperlink ref="A11" r:id="rId1" xr:uid="{00000000-0004-0000-0000-000005000000}"/>
    <hyperlink ref="A25" location="T09.01.08!A1" display="09.01.08 Ville de Lausanne - Locaux commerciaux et industriels vacants selon le type, dès 1987" xr:uid="{00000000-0004-0000-0000-000006000000}"/>
    <hyperlink ref="A23" location="T09.01.06!A1" display="09.01.06 Ville de Lausanne - Parc des bâtiments selonle type de bâtiments et le type de propriétaire, 2020" xr:uid="{00000000-0004-0000-0000-000007000000}"/>
    <hyperlink ref="A24" location="T09.01.07!A1" display="09.01.07 Ville de Lausanne - Parc de logements et de bâtiments, selon la source d’énergie du chauffage et la source d'énergie de l'eau chaude, 2021" xr:uid="{00000000-0004-0000-0000-000008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abSelected="1" zoomScaleNormal="100" workbookViewId="0">
      <pane ySplit="1" topLeftCell="A2" activePane="bottomLeft" state="frozen"/>
      <selection activeCell="J75" sqref="J75"/>
      <selection pane="bottomLeft" activeCell="A47" sqref="A47:XFD53"/>
    </sheetView>
  </sheetViews>
  <sheetFormatPr baseColWidth="10" defaultColWidth="11.5" defaultRowHeight="13.5" customHeight="1"/>
  <cols>
    <col min="1" max="1" width="20.6640625" style="12" customWidth="1"/>
    <col min="2" max="8" width="10.6640625" style="12" customWidth="1"/>
    <col min="9" max="16384" width="11.5" style="12"/>
  </cols>
  <sheetData>
    <row r="1" spans="1:10" ht="13.5" customHeight="1">
      <c r="A1" s="121"/>
      <c r="B1" s="123" t="s">
        <v>215</v>
      </c>
      <c r="C1" s="100">
        <v>1</v>
      </c>
      <c r="D1" s="100">
        <v>2</v>
      </c>
      <c r="E1" s="100">
        <v>3</v>
      </c>
      <c r="F1" s="100">
        <v>4</v>
      </c>
      <c r="G1" s="100">
        <v>5</v>
      </c>
      <c r="H1" s="100" t="s">
        <v>217</v>
      </c>
      <c r="I1" s="234" t="s">
        <v>214</v>
      </c>
      <c r="J1" s="234" t="s">
        <v>216</v>
      </c>
    </row>
    <row r="2" spans="1:10" ht="13.5" customHeight="1">
      <c r="A2" s="9">
        <v>1981</v>
      </c>
      <c r="B2" s="8">
        <v>63713</v>
      </c>
      <c r="C2" s="8">
        <v>10935</v>
      </c>
      <c r="D2" s="8">
        <v>18382</v>
      </c>
      <c r="E2" s="8">
        <v>20346</v>
      </c>
      <c r="F2" s="8">
        <v>8381</v>
      </c>
      <c r="G2" s="8">
        <v>3340</v>
      </c>
      <c r="H2" s="8">
        <v>2329</v>
      </c>
      <c r="I2" s="163">
        <v>128525</v>
      </c>
      <c r="J2" s="236">
        <f t="shared" ref="J2:J45" si="0">I2/B2</f>
        <v>2.0172492270023388</v>
      </c>
    </row>
    <row r="3" spans="1:10" ht="13.5" customHeight="1">
      <c r="A3" s="37">
        <v>1982</v>
      </c>
      <c r="B3" s="36">
        <v>63918</v>
      </c>
      <c r="C3" s="36">
        <v>10971</v>
      </c>
      <c r="D3" s="36">
        <v>18428</v>
      </c>
      <c r="E3" s="36">
        <v>20372</v>
      </c>
      <c r="F3" s="36">
        <v>8455</v>
      </c>
      <c r="G3" s="36">
        <v>3363</v>
      </c>
      <c r="H3" s="36">
        <v>2329</v>
      </c>
      <c r="I3" s="235">
        <v>128165</v>
      </c>
      <c r="J3" s="236">
        <f t="shared" si="0"/>
        <v>2.0051472198754654</v>
      </c>
    </row>
    <row r="4" spans="1:10" ht="13.5" customHeight="1">
      <c r="A4" s="9">
        <v>1983</v>
      </c>
      <c r="B4" s="8">
        <v>64346</v>
      </c>
      <c r="C4" s="8">
        <v>10994</v>
      </c>
      <c r="D4" s="8">
        <v>18474</v>
      </c>
      <c r="E4" s="8">
        <v>20513</v>
      </c>
      <c r="F4" s="8">
        <v>8591</v>
      </c>
      <c r="G4" s="8">
        <v>3422</v>
      </c>
      <c r="H4" s="8">
        <v>2352</v>
      </c>
      <c r="I4" s="163">
        <v>128199</v>
      </c>
      <c r="J4" s="236">
        <f t="shared" si="0"/>
        <v>1.9923382960867808</v>
      </c>
    </row>
    <row r="5" spans="1:10" ht="13.5" customHeight="1">
      <c r="A5" s="37">
        <v>1984</v>
      </c>
      <c r="B5" s="36">
        <v>64668</v>
      </c>
      <c r="C5" s="36">
        <v>11001</v>
      </c>
      <c r="D5" s="36">
        <v>18526</v>
      </c>
      <c r="E5" s="36">
        <v>20625</v>
      </c>
      <c r="F5" s="36">
        <v>8702</v>
      </c>
      <c r="G5" s="36">
        <v>3458</v>
      </c>
      <c r="H5" s="36">
        <v>2356</v>
      </c>
      <c r="I5" s="235">
        <v>127952</v>
      </c>
      <c r="J5" s="236">
        <f t="shared" si="0"/>
        <v>1.9785983794148574</v>
      </c>
    </row>
    <row r="6" spans="1:10" ht="13.5" customHeight="1">
      <c r="A6" s="9">
        <v>1985</v>
      </c>
      <c r="B6" s="8">
        <v>64958</v>
      </c>
      <c r="C6" s="8">
        <v>11021</v>
      </c>
      <c r="D6" s="8">
        <v>18588</v>
      </c>
      <c r="E6" s="8">
        <v>20707</v>
      </c>
      <c r="F6" s="8">
        <v>8779</v>
      </c>
      <c r="G6" s="8">
        <v>3491</v>
      </c>
      <c r="H6" s="8">
        <v>2372</v>
      </c>
      <c r="I6" s="163">
        <v>127128</v>
      </c>
      <c r="J6" s="236">
        <f t="shared" si="0"/>
        <v>1.9570799593583545</v>
      </c>
    </row>
    <row r="7" spans="1:10" ht="13.5" customHeight="1">
      <c r="A7" s="37">
        <v>1986</v>
      </c>
      <c r="B7" s="36">
        <v>65353</v>
      </c>
      <c r="C7" s="36">
        <v>11070</v>
      </c>
      <c r="D7" s="36">
        <v>18622</v>
      </c>
      <c r="E7" s="36">
        <v>20814</v>
      </c>
      <c r="F7" s="36">
        <v>8910</v>
      </c>
      <c r="G7" s="36">
        <v>3558</v>
      </c>
      <c r="H7" s="36">
        <v>2379</v>
      </c>
      <c r="I7" s="235">
        <v>126050</v>
      </c>
      <c r="J7" s="236">
        <f t="shared" si="0"/>
        <v>1.9287561397334476</v>
      </c>
    </row>
    <row r="8" spans="1:10" ht="13.5" customHeight="1">
      <c r="A8" s="9">
        <v>1987</v>
      </c>
      <c r="B8" s="8">
        <v>66075</v>
      </c>
      <c r="C8" s="8">
        <v>11116</v>
      </c>
      <c r="D8" s="8">
        <v>18760</v>
      </c>
      <c r="E8" s="8">
        <v>21060</v>
      </c>
      <c r="F8" s="8">
        <v>9135</v>
      </c>
      <c r="G8" s="8">
        <v>3609</v>
      </c>
      <c r="H8" s="8">
        <v>2395</v>
      </c>
      <c r="I8" s="163">
        <v>126475</v>
      </c>
      <c r="J8" s="236">
        <f t="shared" si="0"/>
        <v>1.9141127506621263</v>
      </c>
    </row>
    <row r="9" spans="1:10" ht="13.5" customHeight="1">
      <c r="A9" s="37">
        <v>1988</v>
      </c>
      <c r="B9" s="36">
        <v>66539</v>
      </c>
      <c r="C9" s="36">
        <v>11135</v>
      </c>
      <c r="D9" s="36">
        <v>18821</v>
      </c>
      <c r="E9" s="36">
        <v>21215</v>
      </c>
      <c r="F9" s="36">
        <v>9300</v>
      </c>
      <c r="G9" s="36">
        <v>3666</v>
      </c>
      <c r="H9" s="36">
        <v>2402</v>
      </c>
      <c r="I9" s="235">
        <v>126976</v>
      </c>
      <c r="J9" s="236">
        <f t="shared" si="0"/>
        <v>1.9082943837448714</v>
      </c>
    </row>
    <row r="10" spans="1:10" ht="13.5" customHeight="1">
      <c r="A10" s="9">
        <v>1989</v>
      </c>
      <c r="B10" s="8">
        <v>66894</v>
      </c>
      <c r="C10" s="8">
        <v>11154</v>
      </c>
      <c r="D10" s="8">
        <v>18937</v>
      </c>
      <c r="E10" s="8">
        <v>21289</v>
      </c>
      <c r="F10" s="8">
        <v>9412</v>
      </c>
      <c r="G10" s="8">
        <v>3690</v>
      </c>
      <c r="H10" s="8">
        <v>2412</v>
      </c>
      <c r="I10" s="163">
        <v>126699</v>
      </c>
      <c r="J10" s="236">
        <f t="shared" si="0"/>
        <v>1.894026370078034</v>
      </c>
    </row>
    <row r="11" spans="1:10" ht="13.5" customHeight="1">
      <c r="A11" s="37">
        <v>1990</v>
      </c>
      <c r="B11" s="36">
        <v>66227</v>
      </c>
      <c r="C11" s="36">
        <v>10811</v>
      </c>
      <c r="D11" s="36">
        <v>18786</v>
      </c>
      <c r="E11" s="36">
        <v>21337</v>
      </c>
      <c r="F11" s="36">
        <v>9259</v>
      </c>
      <c r="G11" s="36">
        <v>3680</v>
      </c>
      <c r="H11" s="36">
        <v>2354</v>
      </c>
      <c r="I11" s="235">
        <v>127515</v>
      </c>
      <c r="J11" s="236">
        <f t="shared" si="0"/>
        <v>1.9254231657783079</v>
      </c>
    </row>
    <row r="12" spans="1:10" ht="13.5" customHeight="1">
      <c r="A12" s="9">
        <v>1991</v>
      </c>
      <c r="B12" s="8">
        <v>66339</v>
      </c>
      <c r="C12" s="8">
        <v>10701</v>
      </c>
      <c r="D12" s="8">
        <v>18842</v>
      </c>
      <c r="E12" s="8">
        <v>21434</v>
      </c>
      <c r="F12" s="8">
        <v>9307</v>
      </c>
      <c r="G12" s="8">
        <v>3695</v>
      </c>
      <c r="H12" s="8">
        <v>2360</v>
      </c>
      <c r="I12" s="163">
        <v>127118</v>
      </c>
      <c r="J12" s="236">
        <f t="shared" si="0"/>
        <v>1.9161880643362126</v>
      </c>
    </row>
    <row r="13" spans="1:10" ht="13.5" customHeight="1">
      <c r="A13" s="37">
        <v>1992</v>
      </c>
      <c r="B13" s="36">
        <v>66571</v>
      </c>
      <c r="C13" s="36">
        <v>10722</v>
      </c>
      <c r="D13" s="36">
        <v>18925</v>
      </c>
      <c r="E13" s="36">
        <v>21499</v>
      </c>
      <c r="F13" s="36">
        <v>9352</v>
      </c>
      <c r="G13" s="36">
        <v>3702</v>
      </c>
      <c r="H13" s="36">
        <v>2371</v>
      </c>
      <c r="I13" s="235">
        <v>126058</v>
      </c>
      <c r="J13" s="236">
        <f t="shared" si="0"/>
        <v>1.8935872977723032</v>
      </c>
    </row>
    <row r="14" spans="1:10" ht="13.5" customHeight="1">
      <c r="A14" s="9">
        <v>1993</v>
      </c>
      <c r="B14" s="8">
        <v>66846</v>
      </c>
      <c r="C14" s="8">
        <v>10674</v>
      </c>
      <c r="D14" s="8">
        <v>19061</v>
      </c>
      <c r="E14" s="8">
        <v>21619</v>
      </c>
      <c r="F14" s="8">
        <v>9409</v>
      </c>
      <c r="G14" s="8">
        <v>3710</v>
      </c>
      <c r="H14" s="8">
        <v>2373</v>
      </c>
      <c r="I14" s="163">
        <v>125457</v>
      </c>
      <c r="J14" s="236">
        <f t="shared" si="0"/>
        <v>1.8768063908087245</v>
      </c>
    </row>
    <row r="15" spans="1:10" ht="13.5" customHeight="1">
      <c r="A15" s="37">
        <v>1994</v>
      </c>
      <c r="B15" s="36">
        <v>67034</v>
      </c>
      <c r="C15" s="36">
        <v>10654</v>
      </c>
      <c r="D15" s="36">
        <v>19133</v>
      </c>
      <c r="E15" s="36">
        <v>21721</v>
      </c>
      <c r="F15" s="36">
        <v>9436</v>
      </c>
      <c r="G15" s="36">
        <v>3707</v>
      </c>
      <c r="H15" s="36">
        <v>2383</v>
      </c>
      <c r="I15" s="235">
        <v>125264</v>
      </c>
      <c r="J15" s="236">
        <f t="shared" si="0"/>
        <v>1.8686636632156817</v>
      </c>
    </row>
    <row r="16" spans="1:10" ht="13.5" customHeight="1">
      <c r="A16" s="9">
        <v>1995</v>
      </c>
      <c r="B16" s="8">
        <v>67150</v>
      </c>
      <c r="C16" s="8">
        <v>10669</v>
      </c>
      <c r="D16" s="8">
        <v>19161</v>
      </c>
      <c r="E16" s="8">
        <v>21780</v>
      </c>
      <c r="F16" s="8">
        <v>9453</v>
      </c>
      <c r="G16" s="8">
        <v>3700</v>
      </c>
      <c r="H16" s="8">
        <v>2387</v>
      </c>
      <c r="I16" s="163">
        <v>124561</v>
      </c>
      <c r="J16" s="236">
        <f t="shared" si="0"/>
        <v>1.8549664929262843</v>
      </c>
    </row>
    <row r="17" spans="1:10" ht="13.5" customHeight="1">
      <c r="A17" s="37">
        <v>1996</v>
      </c>
      <c r="B17" s="36">
        <v>67288</v>
      </c>
      <c r="C17" s="36">
        <v>10643</v>
      </c>
      <c r="D17" s="36">
        <v>19161</v>
      </c>
      <c r="E17" s="36">
        <v>21845</v>
      </c>
      <c r="F17" s="36">
        <v>9536</v>
      </c>
      <c r="G17" s="36">
        <v>3706</v>
      </c>
      <c r="H17" s="36">
        <v>2397</v>
      </c>
      <c r="I17" s="235">
        <v>123577</v>
      </c>
      <c r="J17" s="236">
        <f t="shared" si="0"/>
        <v>1.8365384615384615</v>
      </c>
    </row>
    <row r="18" spans="1:10" ht="13.5" customHeight="1">
      <c r="A18" s="9">
        <v>1997</v>
      </c>
      <c r="B18" s="8">
        <v>67665</v>
      </c>
      <c r="C18" s="8">
        <v>10651</v>
      </c>
      <c r="D18" s="8">
        <v>19207</v>
      </c>
      <c r="E18" s="8">
        <v>22005</v>
      </c>
      <c r="F18" s="8">
        <v>9658</v>
      </c>
      <c r="G18" s="8">
        <v>3734</v>
      </c>
      <c r="H18" s="8">
        <v>2410</v>
      </c>
      <c r="I18" s="163">
        <v>123325</v>
      </c>
      <c r="J18" s="236">
        <f t="shared" si="0"/>
        <v>1.8225818369910589</v>
      </c>
    </row>
    <row r="19" spans="1:10" ht="13.5" customHeight="1">
      <c r="A19" s="37">
        <v>1998</v>
      </c>
      <c r="B19" s="36">
        <v>68065</v>
      </c>
      <c r="C19" s="36">
        <v>10609</v>
      </c>
      <c r="D19" s="36">
        <v>19276</v>
      </c>
      <c r="E19" s="36">
        <v>22175</v>
      </c>
      <c r="F19" s="36">
        <v>9823</v>
      </c>
      <c r="G19" s="36">
        <v>3764</v>
      </c>
      <c r="H19" s="36">
        <v>2418</v>
      </c>
      <c r="I19" s="235">
        <v>124205</v>
      </c>
      <c r="J19" s="236">
        <f t="shared" si="0"/>
        <v>1.8247998236979357</v>
      </c>
    </row>
    <row r="20" spans="1:10" ht="13.5" customHeight="1">
      <c r="A20" s="9">
        <v>1999</v>
      </c>
      <c r="B20" s="8">
        <v>68065</v>
      </c>
      <c r="C20" s="8">
        <v>10546</v>
      </c>
      <c r="D20" s="8">
        <v>19239</v>
      </c>
      <c r="E20" s="8">
        <v>22215</v>
      </c>
      <c r="F20" s="8">
        <v>9853</v>
      </c>
      <c r="G20" s="8">
        <v>3778</v>
      </c>
      <c r="H20" s="8">
        <v>2434</v>
      </c>
      <c r="I20" s="163">
        <v>125174</v>
      </c>
      <c r="J20" s="236">
        <f t="shared" si="0"/>
        <v>1.8390362153823552</v>
      </c>
    </row>
    <row r="21" spans="1:10" ht="13.5" customHeight="1">
      <c r="A21" s="37">
        <v>2000</v>
      </c>
      <c r="B21" s="36">
        <v>69592</v>
      </c>
      <c r="C21" s="36">
        <v>9651</v>
      </c>
      <c r="D21" s="36">
        <v>19211</v>
      </c>
      <c r="E21" s="36">
        <v>22507</v>
      </c>
      <c r="F21" s="36">
        <v>10935</v>
      </c>
      <c r="G21" s="36">
        <v>4689</v>
      </c>
      <c r="H21" s="36">
        <v>2599</v>
      </c>
      <c r="I21" s="235">
        <v>124835</v>
      </c>
      <c r="J21" s="236">
        <f t="shared" si="0"/>
        <v>1.793812507184734</v>
      </c>
    </row>
    <row r="22" spans="1:10" ht="13.5" customHeight="1">
      <c r="A22" s="9">
        <v>2001</v>
      </c>
      <c r="B22" s="8">
        <v>69659</v>
      </c>
      <c r="C22" s="8">
        <v>9622</v>
      </c>
      <c r="D22" s="8">
        <v>19193</v>
      </c>
      <c r="E22" s="8">
        <v>22484</v>
      </c>
      <c r="F22" s="8">
        <v>11015</v>
      </c>
      <c r="G22" s="8">
        <v>4705</v>
      </c>
      <c r="H22" s="8">
        <v>2640</v>
      </c>
      <c r="I22" s="163">
        <v>125485</v>
      </c>
      <c r="J22" s="236">
        <f t="shared" si="0"/>
        <v>1.8014183379032143</v>
      </c>
    </row>
    <row r="23" spans="1:10" ht="13.5" customHeight="1">
      <c r="A23" s="37">
        <v>2002</v>
      </c>
      <c r="B23" s="36">
        <v>69912</v>
      </c>
      <c r="C23" s="36">
        <v>9626</v>
      </c>
      <c r="D23" s="36">
        <v>19203</v>
      </c>
      <c r="E23" s="36">
        <v>22567</v>
      </c>
      <c r="F23" s="36">
        <v>11126</v>
      </c>
      <c r="G23" s="36">
        <v>4737</v>
      </c>
      <c r="H23" s="36">
        <v>2653</v>
      </c>
      <c r="I23" s="235">
        <v>126441</v>
      </c>
      <c r="J23" s="236">
        <f t="shared" si="0"/>
        <v>1.8085736354273945</v>
      </c>
    </row>
    <row r="24" spans="1:10" ht="13.5" customHeight="1">
      <c r="A24" s="9">
        <v>2003</v>
      </c>
      <c r="B24" s="8">
        <v>70035</v>
      </c>
      <c r="C24" s="8">
        <v>9606</v>
      </c>
      <c r="D24" s="8">
        <v>19202</v>
      </c>
      <c r="E24" s="8">
        <v>22563</v>
      </c>
      <c r="F24" s="8">
        <v>11239</v>
      </c>
      <c r="G24" s="8">
        <v>4760</v>
      </c>
      <c r="H24" s="8">
        <v>2665</v>
      </c>
      <c r="I24" s="163">
        <v>126825</v>
      </c>
      <c r="J24" s="236">
        <f t="shared" si="0"/>
        <v>1.8108802741486401</v>
      </c>
    </row>
    <row r="25" spans="1:10" ht="13.5" customHeight="1">
      <c r="A25" s="37">
        <v>2004</v>
      </c>
      <c r="B25" s="36">
        <v>70343</v>
      </c>
      <c r="C25" s="36">
        <v>9589</v>
      </c>
      <c r="D25" s="36">
        <v>19252</v>
      </c>
      <c r="E25" s="36">
        <v>22649</v>
      </c>
      <c r="F25" s="36">
        <v>11385</v>
      </c>
      <c r="G25" s="36">
        <v>4798</v>
      </c>
      <c r="H25" s="36">
        <v>2670</v>
      </c>
      <c r="I25" s="235">
        <v>127194</v>
      </c>
      <c r="J25" s="236">
        <f t="shared" si="0"/>
        <v>1.8081969776665767</v>
      </c>
    </row>
    <row r="26" spans="1:10" ht="13.5" customHeight="1">
      <c r="A26" s="9">
        <v>2005</v>
      </c>
      <c r="B26" s="8">
        <v>70447</v>
      </c>
      <c r="C26" s="8">
        <v>9588</v>
      </c>
      <c r="D26" s="8">
        <v>19262</v>
      </c>
      <c r="E26" s="8">
        <v>22668</v>
      </c>
      <c r="F26" s="8">
        <v>11431</v>
      </c>
      <c r="G26" s="8">
        <v>4823</v>
      </c>
      <c r="H26" s="8">
        <v>2675</v>
      </c>
      <c r="I26" s="163">
        <v>127597</v>
      </c>
      <c r="J26" s="236">
        <f t="shared" si="0"/>
        <v>1.8112481723849134</v>
      </c>
    </row>
    <row r="27" spans="1:10" ht="13.5" customHeight="1">
      <c r="A27" s="37">
        <v>2006</v>
      </c>
      <c r="B27" s="36">
        <v>70897</v>
      </c>
      <c r="C27" s="36">
        <v>9601</v>
      </c>
      <c r="D27" s="36">
        <v>19348</v>
      </c>
      <c r="E27" s="36">
        <v>22804</v>
      </c>
      <c r="F27" s="36">
        <v>11595</v>
      </c>
      <c r="G27" s="36">
        <v>4849</v>
      </c>
      <c r="H27" s="36">
        <v>2700</v>
      </c>
      <c r="I27" s="235">
        <v>128228</v>
      </c>
      <c r="J27" s="236">
        <f t="shared" si="0"/>
        <v>1.8086519880954059</v>
      </c>
    </row>
    <row r="28" spans="1:10" ht="13.5" customHeight="1">
      <c r="A28" s="9">
        <v>2007</v>
      </c>
      <c r="B28" s="8">
        <v>71593</v>
      </c>
      <c r="C28" s="8">
        <v>9611</v>
      </c>
      <c r="D28" s="8">
        <v>19469</v>
      </c>
      <c r="E28" s="8">
        <v>22979</v>
      </c>
      <c r="F28" s="8">
        <v>11870</v>
      </c>
      <c r="G28" s="8">
        <v>4947</v>
      </c>
      <c r="H28" s="8">
        <v>2717</v>
      </c>
      <c r="I28" s="163">
        <v>129268</v>
      </c>
      <c r="J28" s="236">
        <f t="shared" si="0"/>
        <v>1.8055955191149973</v>
      </c>
    </row>
    <row r="29" spans="1:10" ht="13.5" customHeight="1">
      <c r="A29" s="37">
        <v>2008</v>
      </c>
      <c r="B29" s="36">
        <v>71765</v>
      </c>
      <c r="C29" s="36">
        <v>9613</v>
      </c>
      <c r="D29" s="36">
        <v>19503</v>
      </c>
      <c r="E29" s="36">
        <v>23015</v>
      </c>
      <c r="F29" s="36">
        <v>11941</v>
      </c>
      <c r="G29" s="36">
        <v>4961</v>
      </c>
      <c r="H29" s="36">
        <v>2732</v>
      </c>
      <c r="I29" s="235">
        <v>130721</v>
      </c>
      <c r="J29" s="236">
        <f t="shared" si="0"/>
        <v>1.8215146659235004</v>
      </c>
    </row>
    <row r="30" spans="1:10" ht="13.5" customHeight="1">
      <c r="A30" s="9">
        <v>2009</v>
      </c>
      <c r="B30" s="8">
        <v>72113</v>
      </c>
      <c r="C30" s="8">
        <v>9636</v>
      </c>
      <c r="D30" s="8">
        <v>19560</v>
      </c>
      <c r="E30" s="8">
        <v>23081</v>
      </c>
      <c r="F30" s="8">
        <v>12103</v>
      </c>
      <c r="G30" s="8">
        <v>4993</v>
      </c>
      <c r="H30" s="8">
        <v>2740</v>
      </c>
      <c r="I30" s="163">
        <v>133265</v>
      </c>
      <c r="J30" s="236">
        <f t="shared" si="0"/>
        <v>1.8480024406140363</v>
      </c>
    </row>
    <row r="31" spans="1:10" ht="13.5" customHeight="1">
      <c r="A31" s="37">
        <v>2010</v>
      </c>
      <c r="B31" s="36">
        <v>73209</v>
      </c>
      <c r="C31" s="36">
        <v>10362</v>
      </c>
      <c r="D31" s="36">
        <v>19932</v>
      </c>
      <c r="E31" s="36">
        <v>23265</v>
      </c>
      <c r="F31" s="36">
        <v>11909</v>
      </c>
      <c r="G31" s="36">
        <v>4962</v>
      </c>
      <c r="H31" s="36">
        <v>2779</v>
      </c>
      <c r="I31" s="235">
        <v>134753</v>
      </c>
      <c r="J31" s="236">
        <f t="shared" si="0"/>
        <v>1.8406616672813452</v>
      </c>
    </row>
    <row r="32" spans="1:10" ht="13.5" customHeight="1">
      <c r="A32" s="9">
        <v>2011</v>
      </c>
      <c r="B32" s="8">
        <v>73712</v>
      </c>
      <c r="C32" s="8">
        <v>10933</v>
      </c>
      <c r="D32" s="8">
        <v>20146</v>
      </c>
      <c r="E32" s="8">
        <v>23810</v>
      </c>
      <c r="F32" s="8">
        <v>11735</v>
      </c>
      <c r="G32" s="8">
        <v>4513</v>
      </c>
      <c r="H32" s="8">
        <v>2575</v>
      </c>
      <c r="I32" s="163">
        <v>136288</v>
      </c>
      <c r="J32" s="236">
        <f t="shared" si="0"/>
        <v>1.8489255480790101</v>
      </c>
    </row>
    <row r="33" spans="1:10" ht="13.5" customHeight="1">
      <c r="A33" s="37">
        <v>2012</v>
      </c>
      <c r="B33" s="36">
        <v>74338</v>
      </c>
      <c r="C33" s="36">
        <v>11305</v>
      </c>
      <c r="D33" s="36">
        <v>20219</v>
      </c>
      <c r="E33" s="36">
        <v>23811</v>
      </c>
      <c r="F33" s="36">
        <v>11810</v>
      </c>
      <c r="G33" s="36">
        <v>4566</v>
      </c>
      <c r="H33" s="36">
        <v>2627</v>
      </c>
      <c r="I33" s="235">
        <v>137586</v>
      </c>
      <c r="J33" s="236">
        <f t="shared" si="0"/>
        <v>1.8508165406656085</v>
      </c>
    </row>
    <row r="34" spans="1:10" ht="13.5" customHeight="1">
      <c r="A34" s="9">
        <v>2013</v>
      </c>
      <c r="B34" s="8">
        <v>75025</v>
      </c>
      <c r="C34" s="8">
        <v>11427</v>
      </c>
      <c r="D34" s="8">
        <v>20405</v>
      </c>
      <c r="E34" s="8">
        <v>24010</v>
      </c>
      <c r="F34" s="8">
        <v>11931</v>
      </c>
      <c r="G34" s="8">
        <v>4612</v>
      </c>
      <c r="H34" s="8">
        <v>2640</v>
      </c>
      <c r="I34" s="163">
        <v>139390</v>
      </c>
      <c r="J34" s="236">
        <f t="shared" si="0"/>
        <v>1.8579140286571143</v>
      </c>
    </row>
    <row r="35" spans="1:10" ht="13.5" customHeight="1">
      <c r="A35" s="37">
        <v>2014</v>
      </c>
      <c r="B35" s="36">
        <v>75183</v>
      </c>
      <c r="C35" s="36">
        <v>11376</v>
      </c>
      <c r="D35" s="36">
        <v>20417</v>
      </c>
      <c r="E35" s="36">
        <v>24106</v>
      </c>
      <c r="F35" s="36">
        <v>12036</v>
      </c>
      <c r="G35" s="36">
        <v>4615</v>
      </c>
      <c r="H35" s="36">
        <v>2633</v>
      </c>
      <c r="I35" s="235">
        <v>140228</v>
      </c>
      <c r="J35" s="236">
        <f t="shared" si="0"/>
        <v>1.8651556867908969</v>
      </c>
    </row>
    <row r="36" spans="1:10" ht="13.5" customHeight="1">
      <c r="A36" s="9">
        <v>2015</v>
      </c>
      <c r="B36" s="8">
        <v>75888</v>
      </c>
      <c r="C36" s="8">
        <v>11513</v>
      </c>
      <c r="D36" s="8">
        <v>20599</v>
      </c>
      <c r="E36" s="8">
        <v>24295</v>
      </c>
      <c r="F36" s="8">
        <v>12211</v>
      </c>
      <c r="G36" s="8">
        <v>4623</v>
      </c>
      <c r="H36" s="8">
        <v>2647</v>
      </c>
      <c r="I36" s="163">
        <v>141325</v>
      </c>
      <c r="J36" s="236">
        <f t="shared" si="0"/>
        <v>1.8622838920514442</v>
      </c>
    </row>
    <row r="37" spans="1:10" ht="13.5" customHeight="1">
      <c r="A37" s="37">
        <v>2016</v>
      </c>
      <c r="B37" s="36">
        <v>77213</v>
      </c>
      <c r="C37" s="36">
        <v>11622</v>
      </c>
      <c r="D37" s="36">
        <v>20995</v>
      </c>
      <c r="E37" s="36">
        <v>24737</v>
      </c>
      <c r="F37" s="36">
        <v>12546</v>
      </c>
      <c r="G37" s="36">
        <v>4667</v>
      </c>
      <c r="H37" s="36">
        <v>2646</v>
      </c>
      <c r="I37" s="235">
        <v>143561</v>
      </c>
      <c r="J37" s="236">
        <f t="shared" si="0"/>
        <v>1.8592853535026486</v>
      </c>
    </row>
    <row r="38" spans="1:10" ht="13.5" customHeight="1">
      <c r="A38" s="9">
        <v>2017</v>
      </c>
      <c r="B38" s="8">
        <v>77533</v>
      </c>
      <c r="C38" s="8">
        <v>11722</v>
      </c>
      <c r="D38" s="8">
        <v>21073</v>
      </c>
      <c r="E38" s="8">
        <v>24829</v>
      </c>
      <c r="F38" s="8">
        <v>12613</v>
      </c>
      <c r="G38" s="8">
        <v>4671</v>
      </c>
      <c r="H38" s="8">
        <v>2625</v>
      </c>
      <c r="I38" s="163">
        <v>144790</v>
      </c>
      <c r="J38" s="236">
        <f t="shared" si="0"/>
        <v>1.8674628867707943</v>
      </c>
    </row>
    <row r="39" spans="1:10" ht="13.5" customHeight="1">
      <c r="A39" s="37">
        <v>2018</v>
      </c>
      <c r="B39" s="36">
        <v>78257</v>
      </c>
      <c r="C39" s="36">
        <v>11889</v>
      </c>
      <c r="D39" s="36">
        <v>21291</v>
      </c>
      <c r="E39" s="36">
        <v>25065</v>
      </c>
      <c r="F39" s="36">
        <v>12725</v>
      </c>
      <c r="G39" s="36">
        <v>4685</v>
      </c>
      <c r="H39" s="36">
        <v>2602</v>
      </c>
      <c r="I39" s="235">
        <v>145488</v>
      </c>
      <c r="J39" s="236">
        <f t="shared" si="0"/>
        <v>1.8591052557598682</v>
      </c>
    </row>
    <row r="40" spans="1:10" ht="13.5" customHeight="1">
      <c r="A40" s="9">
        <v>2019</v>
      </c>
      <c r="B40" s="8">
        <v>79082</v>
      </c>
      <c r="C40" s="8">
        <v>11954</v>
      </c>
      <c r="D40" s="8">
        <v>21508</v>
      </c>
      <c r="E40" s="8">
        <v>25401</v>
      </c>
      <c r="F40" s="8">
        <v>12921</v>
      </c>
      <c r="G40" s="8">
        <v>4703</v>
      </c>
      <c r="H40" s="8">
        <v>2595</v>
      </c>
      <c r="I40" s="163">
        <v>146032</v>
      </c>
      <c r="J40" s="236">
        <f t="shared" si="0"/>
        <v>1.8465896158417845</v>
      </c>
    </row>
    <row r="41" spans="1:10" ht="13.5" customHeight="1">
      <c r="A41" s="37">
        <v>2020</v>
      </c>
      <c r="B41" s="36">
        <v>79524</v>
      </c>
      <c r="C41" s="36">
        <v>11988</v>
      </c>
      <c r="D41" s="36">
        <v>21569</v>
      </c>
      <c r="E41" s="36">
        <v>25644</v>
      </c>
      <c r="F41" s="36">
        <v>13013</v>
      </c>
      <c r="G41" s="36">
        <v>4722</v>
      </c>
      <c r="H41" s="36">
        <v>2588</v>
      </c>
      <c r="I41" s="235">
        <v>145358</v>
      </c>
      <c r="J41" s="236">
        <f t="shared" si="0"/>
        <v>1.8278507117348222</v>
      </c>
    </row>
    <row r="42" spans="1:10" ht="13.5" customHeight="1">
      <c r="A42" s="9">
        <v>2021</v>
      </c>
      <c r="B42" s="8">
        <v>80125</v>
      </c>
      <c r="C42" s="8">
        <v>12243</v>
      </c>
      <c r="D42" s="8">
        <v>21731</v>
      </c>
      <c r="E42" s="8">
        <v>25742</v>
      </c>
      <c r="F42" s="8">
        <v>13092</v>
      </c>
      <c r="G42" s="8">
        <v>4725</v>
      </c>
      <c r="H42" s="8">
        <v>2592</v>
      </c>
      <c r="I42" s="163">
        <v>146910</v>
      </c>
      <c r="J42" s="236">
        <f t="shared" si="0"/>
        <v>1.8335101404056162</v>
      </c>
    </row>
    <row r="43" spans="1:10" ht="13.5" customHeight="1">
      <c r="A43" s="37">
        <v>2022</v>
      </c>
      <c r="B43" s="36">
        <v>80756</v>
      </c>
      <c r="C43" s="36">
        <v>12309</v>
      </c>
      <c r="D43" s="36">
        <v>21907</v>
      </c>
      <c r="E43" s="36">
        <v>25963</v>
      </c>
      <c r="F43" s="36">
        <v>13233</v>
      </c>
      <c r="G43" s="36">
        <v>4754</v>
      </c>
      <c r="H43" s="36">
        <v>2590</v>
      </c>
      <c r="I43" s="235">
        <v>148810</v>
      </c>
      <c r="J43" s="236">
        <f t="shared" si="0"/>
        <v>1.8427113774827877</v>
      </c>
    </row>
    <row r="44" spans="1:10" ht="13.5" customHeight="1">
      <c r="A44" s="9">
        <v>2023</v>
      </c>
      <c r="B44" s="8">
        <v>81645</v>
      </c>
      <c r="C44" s="8">
        <v>12473</v>
      </c>
      <c r="D44" s="8">
        <v>22140</v>
      </c>
      <c r="E44" s="8">
        <v>26233</v>
      </c>
      <c r="F44" s="8">
        <v>13419</v>
      </c>
      <c r="G44" s="8">
        <v>4793</v>
      </c>
      <c r="H44" s="8">
        <v>2587</v>
      </c>
      <c r="I44" s="163">
        <v>150130</v>
      </c>
      <c r="J44" s="236">
        <f t="shared" si="0"/>
        <v>1.838814379325127</v>
      </c>
    </row>
    <row r="45" spans="1:10" ht="13.5" customHeight="1">
      <c r="A45" s="37">
        <v>2024</v>
      </c>
      <c r="B45" s="36">
        <v>82321</v>
      </c>
      <c r="C45" s="36">
        <v>12642</v>
      </c>
      <c r="D45" s="36">
        <v>22376</v>
      </c>
      <c r="E45" s="36">
        <v>26416</v>
      </c>
      <c r="F45" s="36">
        <v>13489</v>
      </c>
      <c r="G45" s="36">
        <v>4818</v>
      </c>
      <c r="H45" s="36">
        <v>2580</v>
      </c>
      <c r="I45" s="235">
        <v>150876</v>
      </c>
      <c r="J45" s="236">
        <f t="shared" si="0"/>
        <v>1.8327765697695606</v>
      </c>
    </row>
    <row r="46" spans="1:10" ht="13.5" customHeight="1">
      <c r="A46" s="157"/>
    </row>
    <row r="47" spans="1:10" ht="13.5" customHeight="1">
      <c r="A47" s="124"/>
      <c r="B47" s="72"/>
      <c r="C47" s="72"/>
      <c r="D47" s="72"/>
      <c r="E47" s="72"/>
      <c r="F47" s="72"/>
      <c r="G47" s="72"/>
      <c r="H47" s="72"/>
    </row>
    <row r="48" spans="1:10" ht="13.5" customHeight="1">
      <c r="A48" s="125"/>
      <c r="B48" s="72"/>
      <c r="C48" s="72"/>
      <c r="D48" s="72"/>
      <c r="E48" s="72"/>
      <c r="F48" s="72"/>
      <c r="G48" s="72"/>
      <c r="H48" s="72"/>
    </row>
    <row r="49" spans="1:8" ht="13.5" customHeight="1">
      <c r="A49" s="125"/>
      <c r="B49" s="72"/>
      <c r="C49" s="72"/>
      <c r="D49" s="72"/>
      <c r="E49" s="72"/>
      <c r="F49" s="72"/>
      <c r="G49" s="72"/>
      <c r="H49" s="72"/>
    </row>
    <row r="50" spans="1:8" ht="13.5" customHeight="1">
      <c r="A50" s="69"/>
      <c r="B50" s="72"/>
      <c r="C50" s="72"/>
      <c r="D50" s="72"/>
      <c r="E50" s="72"/>
      <c r="F50" s="72"/>
      <c r="G50" s="72"/>
      <c r="H50" s="72"/>
    </row>
    <row r="51" spans="1:8" ht="13.5" customHeight="1">
      <c r="A51" s="70"/>
      <c r="B51" s="72"/>
      <c r="C51" s="72"/>
      <c r="D51" s="72"/>
      <c r="E51" s="72"/>
      <c r="F51" s="72"/>
      <c r="G51" s="72"/>
      <c r="H51" s="72"/>
    </row>
    <row r="52" spans="1:8" ht="13.5" customHeight="1">
      <c r="A52" s="71"/>
      <c r="B52" s="72"/>
      <c r="C52" s="72"/>
      <c r="D52" s="72"/>
      <c r="E52" s="72"/>
      <c r="F52" s="72"/>
      <c r="G52" s="72"/>
      <c r="H52" s="72"/>
    </row>
  </sheetData>
  <pageMargins left="0.38" right="0.18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0"/>
  <sheetViews>
    <sheetView zoomScaleNormal="100" workbookViewId="0">
      <pane ySplit="6" topLeftCell="A37" activePane="bottomLeft" state="frozen"/>
      <selection activeCell="J75" sqref="J75"/>
      <selection pane="bottomLeft" activeCell="N62" sqref="N62"/>
    </sheetView>
  </sheetViews>
  <sheetFormatPr baseColWidth="10" defaultColWidth="7" defaultRowHeight="13.5" customHeight="1"/>
  <cols>
    <col min="1" max="2" width="7" style="12"/>
    <col min="3" max="3" width="7.83203125" style="12" customWidth="1"/>
    <col min="4" max="4" width="7" style="12"/>
    <col min="5" max="5" width="7.83203125" style="12" customWidth="1"/>
    <col min="6" max="6" width="7" style="12"/>
    <col min="7" max="7" width="7.83203125" style="12" customWidth="1"/>
    <col min="8" max="8" width="7" style="12"/>
    <col min="9" max="9" width="7.83203125" style="12" customWidth="1"/>
    <col min="10" max="10" width="7" style="12"/>
    <col min="11" max="11" width="7.83203125" style="12" customWidth="1"/>
    <col min="12" max="12" width="7" style="12"/>
    <col min="13" max="13" width="7.83203125" style="12" customWidth="1"/>
    <col min="14" max="14" width="7" style="12"/>
    <col min="15" max="15" width="7.83203125" style="12" customWidth="1"/>
    <col min="16" max="16" width="10.5" style="12" customWidth="1"/>
    <col min="17" max="17" width="11" style="12" customWidth="1"/>
    <col min="18" max="16384" width="7" style="12"/>
  </cols>
  <sheetData>
    <row r="1" spans="1:17" s="7" customFormat="1" ht="13.5" customHeight="1">
      <c r="A1" s="151" t="s">
        <v>87</v>
      </c>
      <c r="B1" s="82"/>
      <c r="C1" s="82"/>
      <c r="D1" s="82"/>
      <c r="E1" s="82"/>
      <c r="F1" s="82"/>
      <c r="G1" s="82"/>
      <c r="H1" s="83"/>
      <c r="I1" s="83"/>
      <c r="J1" s="82"/>
      <c r="K1" s="82"/>
      <c r="L1" s="84"/>
      <c r="M1" s="84"/>
      <c r="N1" s="82"/>
      <c r="O1" s="82"/>
      <c r="P1" s="82"/>
      <c r="Q1" s="85"/>
    </row>
    <row r="2" spans="1:17" ht="13.5" customHeight="1">
      <c r="A2" s="73" t="s">
        <v>74</v>
      </c>
      <c r="B2" s="126"/>
      <c r="C2" s="126"/>
      <c r="D2" s="126"/>
      <c r="E2" s="73"/>
      <c r="F2" s="73"/>
      <c r="G2" s="73"/>
      <c r="H2" s="73"/>
      <c r="I2" s="73"/>
      <c r="J2" s="73"/>
      <c r="K2" s="73"/>
      <c r="L2" s="127"/>
      <c r="M2" s="127"/>
      <c r="N2" s="73"/>
      <c r="O2" s="73"/>
      <c r="P2" s="73"/>
      <c r="Q2" s="127"/>
    </row>
    <row r="3" spans="1:17" ht="13.5" customHeight="1">
      <c r="A3" s="73"/>
      <c r="B3" s="126"/>
      <c r="C3" s="126"/>
      <c r="D3" s="126"/>
      <c r="E3" s="73"/>
      <c r="F3" s="73"/>
      <c r="G3" s="73"/>
      <c r="H3" s="73"/>
      <c r="I3" s="73"/>
      <c r="J3" s="73"/>
      <c r="K3" s="73"/>
      <c r="L3" s="127"/>
      <c r="M3" s="127"/>
      <c r="N3" s="73"/>
      <c r="O3" s="73"/>
      <c r="P3" s="73"/>
      <c r="Q3" s="127"/>
    </row>
    <row r="4" spans="1:17" ht="13.5" customHeight="1">
      <c r="A4" s="133"/>
      <c r="B4" s="122"/>
      <c r="C4" s="148"/>
      <c r="D4" s="122"/>
      <c r="E4" s="148"/>
      <c r="F4" s="122"/>
      <c r="G4" s="148"/>
      <c r="H4" s="122"/>
      <c r="I4" s="148"/>
      <c r="J4" s="122"/>
      <c r="K4" s="148"/>
      <c r="L4" s="122"/>
      <c r="M4" s="148"/>
      <c r="N4" s="122"/>
      <c r="O4" s="104" t="s">
        <v>57</v>
      </c>
      <c r="P4" s="166" t="s">
        <v>121</v>
      </c>
      <c r="Q4" s="137" t="s">
        <v>78</v>
      </c>
    </row>
    <row r="5" spans="1:17" ht="13.5" customHeight="1">
      <c r="A5" s="134"/>
      <c r="B5" s="135" t="s">
        <v>51</v>
      </c>
      <c r="C5" s="149" t="s">
        <v>75</v>
      </c>
      <c r="D5" s="135">
        <v>1</v>
      </c>
      <c r="E5" s="149" t="s">
        <v>75</v>
      </c>
      <c r="F5" s="135">
        <v>2</v>
      </c>
      <c r="G5" s="149" t="s">
        <v>75</v>
      </c>
      <c r="H5" s="135">
        <v>3</v>
      </c>
      <c r="I5" s="149" t="s">
        <v>75</v>
      </c>
      <c r="J5" s="135">
        <v>4</v>
      </c>
      <c r="K5" s="149" t="s">
        <v>75</v>
      </c>
      <c r="L5" s="135">
        <v>5</v>
      </c>
      <c r="M5" s="149" t="s">
        <v>75</v>
      </c>
      <c r="N5" s="135" t="s">
        <v>52</v>
      </c>
      <c r="O5" s="149" t="s">
        <v>75</v>
      </c>
      <c r="P5" s="166" t="s">
        <v>122</v>
      </c>
      <c r="Q5" s="136" t="s">
        <v>79</v>
      </c>
    </row>
    <row r="6" spans="1:17" ht="13.5" customHeight="1">
      <c r="A6" s="134"/>
      <c r="B6" s="135"/>
      <c r="C6" s="149"/>
      <c r="D6" s="135"/>
      <c r="E6" s="149"/>
      <c r="F6" s="135"/>
      <c r="G6" s="149"/>
      <c r="H6" s="135"/>
      <c r="I6" s="149"/>
      <c r="J6" s="135"/>
      <c r="K6" s="149"/>
      <c r="L6" s="135"/>
      <c r="M6" s="149"/>
      <c r="N6" s="135"/>
      <c r="O6" s="149"/>
      <c r="P6" s="136" t="s">
        <v>88</v>
      </c>
      <c r="Q6" s="136" t="s">
        <v>77</v>
      </c>
    </row>
    <row r="7" spans="1:17" ht="13.5" customHeight="1">
      <c r="A7" s="79">
        <v>1979</v>
      </c>
      <c r="B7" s="74">
        <v>202</v>
      </c>
      <c r="C7" s="164">
        <v>187</v>
      </c>
      <c r="D7" s="164">
        <v>131</v>
      </c>
      <c r="E7" s="164">
        <v>131</v>
      </c>
      <c r="F7" s="164">
        <v>22</v>
      </c>
      <c r="G7" s="164">
        <v>18</v>
      </c>
      <c r="H7" s="164">
        <v>18</v>
      </c>
      <c r="I7" s="164">
        <v>17</v>
      </c>
      <c r="J7" s="164">
        <v>13</v>
      </c>
      <c r="K7" s="164">
        <v>7</v>
      </c>
      <c r="L7" s="164">
        <v>12</v>
      </c>
      <c r="M7" s="164">
        <v>11</v>
      </c>
      <c r="N7" s="164">
        <v>6</v>
      </c>
      <c r="O7" s="164">
        <v>3</v>
      </c>
      <c r="P7" s="128">
        <v>62730</v>
      </c>
      <c r="Q7" s="80">
        <v>0.32201498485573093</v>
      </c>
    </row>
    <row r="8" spans="1:17" ht="13.5" customHeight="1">
      <c r="A8" s="139">
        <v>1980</v>
      </c>
      <c r="B8" s="140">
        <v>136</v>
      </c>
      <c r="C8" s="165">
        <v>116</v>
      </c>
      <c r="D8" s="165">
        <v>50</v>
      </c>
      <c r="E8" s="165">
        <v>50</v>
      </c>
      <c r="F8" s="165">
        <v>22</v>
      </c>
      <c r="G8" s="165">
        <v>21</v>
      </c>
      <c r="H8" s="165">
        <v>17</v>
      </c>
      <c r="I8" s="165">
        <v>15</v>
      </c>
      <c r="J8" s="165">
        <v>27</v>
      </c>
      <c r="K8" s="165">
        <v>19</v>
      </c>
      <c r="L8" s="165">
        <v>11</v>
      </c>
      <c r="M8" s="165">
        <v>6</v>
      </c>
      <c r="N8" s="165">
        <v>9</v>
      </c>
      <c r="O8" s="165">
        <v>5</v>
      </c>
      <c r="P8" s="141">
        <v>63073</v>
      </c>
      <c r="Q8" s="142">
        <v>0.21562316680671603</v>
      </c>
    </row>
    <row r="9" spans="1:17" ht="13.5" customHeight="1">
      <c r="A9" s="79">
        <v>1981</v>
      </c>
      <c r="B9" s="74">
        <v>88</v>
      </c>
      <c r="C9" s="164">
        <v>77</v>
      </c>
      <c r="D9" s="164">
        <v>42</v>
      </c>
      <c r="E9" s="164">
        <v>41</v>
      </c>
      <c r="F9" s="164">
        <v>8</v>
      </c>
      <c r="G9" s="164">
        <v>8</v>
      </c>
      <c r="H9" s="164">
        <v>20</v>
      </c>
      <c r="I9" s="164">
        <v>17</v>
      </c>
      <c r="J9" s="164">
        <v>9</v>
      </c>
      <c r="K9" s="164">
        <v>5</v>
      </c>
      <c r="L9" s="164">
        <v>6</v>
      </c>
      <c r="M9" s="164">
        <v>3</v>
      </c>
      <c r="N9" s="164">
        <v>3</v>
      </c>
      <c r="O9" s="164">
        <v>3</v>
      </c>
      <c r="P9" s="128">
        <v>63456</v>
      </c>
      <c r="Q9" s="80">
        <v>0.13867876954109934</v>
      </c>
    </row>
    <row r="10" spans="1:17" ht="13.5" customHeight="1">
      <c r="A10" s="139">
        <v>1982</v>
      </c>
      <c r="B10" s="140">
        <v>84</v>
      </c>
      <c r="C10" s="165">
        <v>56</v>
      </c>
      <c r="D10" s="165">
        <v>27</v>
      </c>
      <c r="E10" s="165">
        <v>26</v>
      </c>
      <c r="F10" s="165">
        <v>7</v>
      </c>
      <c r="G10" s="165">
        <v>5</v>
      </c>
      <c r="H10" s="165">
        <v>15</v>
      </c>
      <c r="I10" s="165">
        <v>8</v>
      </c>
      <c r="J10" s="165">
        <v>6</v>
      </c>
      <c r="K10" s="165">
        <v>3</v>
      </c>
      <c r="L10" s="165">
        <v>17</v>
      </c>
      <c r="M10" s="165">
        <v>9</v>
      </c>
      <c r="N10" s="165">
        <v>12</v>
      </c>
      <c r="O10" s="165">
        <v>5</v>
      </c>
      <c r="P10" s="141">
        <v>63713</v>
      </c>
      <c r="Q10" s="142">
        <v>0.13184122549558175</v>
      </c>
    </row>
    <row r="11" spans="1:17" ht="13.5" customHeight="1">
      <c r="A11" s="79" t="s">
        <v>76</v>
      </c>
      <c r="B11" s="74" t="s">
        <v>53</v>
      </c>
      <c r="C11" s="164" t="s">
        <v>53</v>
      </c>
      <c r="D11" s="164" t="s">
        <v>53</v>
      </c>
      <c r="E11" s="164" t="s">
        <v>53</v>
      </c>
      <c r="F11" s="164" t="s">
        <v>53</v>
      </c>
      <c r="G11" s="164" t="s">
        <v>53</v>
      </c>
      <c r="H11" s="164" t="s">
        <v>53</v>
      </c>
      <c r="I11" s="164" t="s">
        <v>53</v>
      </c>
      <c r="J11" s="164" t="s">
        <v>53</v>
      </c>
      <c r="K11" s="164" t="s">
        <v>53</v>
      </c>
      <c r="L11" s="164" t="s">
        <v>53</v>
      </c>
      <c r="M11" s="164" t="s">
        <v>53</v>
      </c>
      <c r="N11" s="164" t="s">
        <v>53</v>
      </c>
      <c r="O11" s="164" t="s">
        <v>53</v>
      </c>
      <c r="P11" s="128">
        <v>63918</v>
      </c>
      <c r="Q11" s="74" t="s">
        <v>54</v>
      </c>
    </row>
    <row r="12" spans="1:17" ht="13.5" customHeight="1">
      <c r="A12" s="139">
        <v>1984</v>
      </c>
      <c r="B12" s="140">
        <v>113</v>
      </c>
      <c r="C12" s="165">
        <v>71</v>
      </c>
      <c r="D12" s="165">
        <v>17</v>
      </c>
      <c r="E12" s="165">
        <v>15</v>
      </c>
      <c r="F12" s="165">
        <v>4</v>
      </c>
      <c r="G12" s="165">
        <v>1</v>
      </c>
      <c r="H12" s="165">
        <v>40</v>
      </c>
      <c r="I12" s="165">
        <v>27</v>
      </c>
      <c r="J12" s="165">
        <v>26</v>
      </c>
      <c r="K12" s="165">
        <v>21</v>
      </c>
      <c r="L12" s="165">
        <v>22</v>
      </c>
      <c r="M12" s="165">
        <v>4</v>
      </c>
      <c r="N12" s="165">
        <v>4</v>
      </c>
      <c r="O12" s="165">
        <v>3</v>
      </c>
      <c r="P12" s="141">
        <v>64346</v>
      </c>
      <c r="Q12" s="142">
        <v>0.1756130917228732</v>
      </c>
    </row>
    <row r="13" spans="1:17" ht="13.5" customHeight="1">
      <c r="A13" s="79">
        <v>1985</v>
      </c>
      <c r="B13" s="74">
        <v>81</v>
      </c>
      <c r="C13" s="164">
        <v>62</v>
      </c>
      <c r="D13" s="164">
        <v>24</v>
      </c>
      <c r="E13" s="164">
        <v>23</v>
      </c>
      <c r="F13" s="164">
        <v>9</v>
      </c>
      <c r="G13" s="164">
        <v>7</v>
      </c>
      <c r="H13" s="164">
        <v>11</v>
      </c>
      <c r="I13" s="164">
        <v>4</v>
      </c>
      <c r="J13" s="164">
        <v>25</v>
      </c>
      <c r="K13" s="164">
        <v>19</v>
      </c>
      <c r="L13" s="164">
        <v>10</v>
      </c>
      <c r="M13" s="164">
        <v>7</v>
      </c>
      <c r="N13" s="164">
        <v>2</v>
      </c>
      <c r="O13" s="164">
        <v>2</v>
      </c>
      <c r="P13" s="128">
        <v>64668</v>
      </c>
      <c r="Q13" s="80">
        <v>0.12525514937836332</v>
      </c>
    </row>
    <row r="14" spans="1:17" ht="13.5" customHeight="1">
      <c r="A14" s="139">
        <v>1986</v>
      </c>
      <c r="B14" s="140">
        <v>153</v>
      </c>
      <c r="C14" s="165">
        <v>110</v>
      </c>
      <c r="D14" s="165">
        <v>29</v>
      </c>
      <c r="E14" s="165">
        <v>29</v>
      </c>
      <c r="F14" s="165">
        <v>16</v>
      </c>
      <c r="G14" s="165">
        <v>6</v>
      </c>
      <c r="H14" s="165">
        <v>52</v>
      </c>
      <c r="I14" s="165">
        <v>42</v>
      </c>
      <c r="J14" s="165">
        <v>35</v>
      </c>
      <c r="K14" s="165">
        <v>21</v>
      </c>
      <c r="L14" s="165">
        <v>16</v>
      </c>
      <c r="M14" s="165">
        <v>10</v>
      </c>
      <c r="N14" s="165">
        <v>5</v>
      </c>
      <c r="O14" s="165">
        <v>2</v>
      </c>
      <c r="P14" s="141">
        <v>64958</v>
      </c>
      <c r="Q14" s="142">
        <v>0.23553680839927338</v>
      </c>
    </row>
    <row r="15" spans="1:17" ht="13.5" customHeight="1">
      <c r="A15" s="79">
        <v>1987</v>
      </c>
      <c r="B15" s="74">
        <v>155</v>
      </c>
      <c r="C15" s="164">
        <v>129</v>
      </c>
      <c r="D15" s="164">
        <v>24</v>
      </c>
      <c r="E15" s="164">
        <v>22</v>
      </c>
      <c r="F15" s="164">
        <v>8</v>
      </c>
      <c r="G15" s="164">
        <v>6</v>
      </c>
      <c r="H15" s="164">
        <v>57</v>
      </c>
      <c r="I15" s="164">
        <v>46</v>
      </c>
      <c r="J15" s="164">
        <v>45</v>
      </c>
      <c r="K15" s="164">
        <v>40</v>
      </c>
      <c r="L15" s="164">
        <v>17</v>
      </c>
      <c r="M15" s="164">
        <v>15</v>
      </c>
      <c r="N15" s="164">
        <v>4</v>
      </c>
      <c r="O15" s="164" t="s">
        <v>55</v>
      </c>
      <c r="P15" s="128">
        <v>65353</v>
      </c>
      <c r="Q15" s="80">
        <v>0.23717350389423592</v>
      </c>
    </row>
    <row r="16" spans="1:17" ht="13.5" customHeight="1">
      <c r="A16" s="139">
        <v>1988</v>
      </c>
      <c r="B16" s="140">
        <v>109</v>
      </c>
      <c r="C16" s="165">
        <v>89</v>
      </c>
      <c r="D16" s="165">
        <v>12</v>
      </c>
      <c r="E16" s="165">
        <v>12</v>
      </c>
      <c r="F16" s="165">
        <v>18</v>
      </c>
      <c r="G16" s="165">
        <v>12</v>
      </c>
      <c r="H16" s="165">
        <v>44</v>
      </c>
      <c r="I16" s="165">
        <v>37</v>
      </c>
      <c r="J16" s="165">
        <v>18</v>
      </c>
      <c r="K16" s="165">
        <v>14</v>
      </c>
      <c r="L16" s="165">
        <v>16</v>
      </c>
      <c r="M16" s="165">
        <v>14</v>
      </c>
      <c r="N16" s="165">
        <v>1</v>
      </c>
      <c r="O16" s="165" t="s">
        <v>55</v>
      </c>
      <c r="P16" s="141">
        <v>66075</v>
      </c>
      <c r="Q16" s="142">
        <v>0.16496405599697314</v>
      </c>
    </row>
    <row r="17" spans="1:17" ht="13.5" customHeight="1">
      <c r="A17" s="79">
        <v>1989</v>
      </c>
      <c r="B17" s="74">
        <v>140</v>
      </c>
      <c r="C17" s="164">
        <v>101</v>
      </c>
      <c r="D17" s="164">
        <v>40</v>
      </c>
      <c r="E17" s="164">
        <v>40</v>
      </c>
      <c r="F17" s="164">
        <v>20</v>
      </c>
      <c r="G17" s="164">
        <v>13</v>
      </c>
      <c r="H17" s="164">
        <v>30</v>
      </c>
      <c r="I17" s="164">
        <v>22</v>
      </c>
      <c r="J17" s="164">
        <v>31</v>
      </c>
      <c r="K17" s="164">
        <v>11</v>
      </c>
      <c r="L17" s="164">
        <v>14</v>
      </c>
      <c r="M17" s="164">
        <v>11</v>
      </c>
      <c r="N17" s="164">
        <v>5</v>
      </c>
      <c r="O17" s="164">
        <v>4</v>
      </c>
      <c r="P17" s="128">
        <v>66539</v>
      </c>
      <c r="Q17" s="80">
        <v>0.21040292159485416</v>
      </c>
    </row>
    <row r="18" spans="1:17" ht="13.5" customHeight="1">
      <c r="A18" s="139">
        <v>1990</v>
      </c>
      <c r="B18" s="140">
        <v>137</v>
      </c>
      <c r="C18" s="165">
        <v>80</v>
      </c>
      <c r="D18" s="165">
        <v>27</v>
      </c>
      <c r="E18" s="165">
        <v>21</v>
      </c>
      <c r="F18" s="165">
        <v>21</v>
      </c>
      <c r="G18" s="165">
        <v>14</v>
      </c>
      <c r="H18" s="165">
        <v>41</v>
      </c>
      <c r="I18" s="165">
        <v>22</v>
      </c>
      <c r="J18" s="165">
        <v>31</v>
      </c>
      <c r="K18" s="165">
        <v>18</v>
      </c>
      <c r="L18" s="165">
        <v>6</v>
      </c>
      <c r="M18" s="165">
        <v>2</v>
      </c>
      <c r="N18" s="165">
        <v>11</v>
      </c>
      <c r="O18" s="165">
        <v>3</v>
      </c>
      <c r="P18" s="141">
        <v>66894</v>
      </c>
      <c r="Q18" s="142">
        <v>0.20480162645379257</v>
      </c>
    </row>
    <row r="19" spans="1:17" ht="13.5" customHeight="1">
      <c r="A19" s="79">
        <v>1991</v>
      </c>
      <c r="B19" s="74">
        <v>89</v>
      </c>
      <c r="C19" s="164">
        <v>56</v>
      </c>
      <c r="D19" s="164">
        <v>20</v>
      </c>
      <c r="E19" s="164">
        <v>17</v>
      </c>
      <c r="F19" s="164">
        <v>16</v>
      </c>
      <c r="G19" s="164">
        <v>9</v>
      </c>
      <c r="H19" s="164">
        <v>34</v>
      </c>
      <c r="I19" s="164">
        <v>18</v>
      </c>
      <c r="J19" s="164">
        <v>7</v>
      </c>
      <c r="K19" s="164">
        <v>3</v>
      </c>
      <c r="L19" s="164">
        <v>6</v>
      </c>
      <c r="M19" s="164">
        <v>4</v>
      </c>
      <c r="N19" s="164">
        <v>6</v>
      </c>
      <c r="O19" s="164">
        <v>5</v>
      </c>
      <c r="P19" s="128">
        <v>66227</v>
      </c>
      <c r="Q19" s="80">
        <v>0.13438627750011325</v>
      </c>
    </row>
    <row r="20" spans="1:17" ht="13.5" customHeight="1">
      <c r="A20" s="139">
        <v>1992</v>
      </c>
      <c r="B20" s="140">
        <v>266</v>
      </c>
      <c r="C20" s="165">
        <v>231</v>
      </c>
      <c r="D20" s="165">
        <v>76</v>
      </c>
      <c r="E20" s="165">
        <v>73</v>
      </c>
      <c r="F20" s="165">
        <v>72</v>
      </c>
      <c r="G20" s="165">
        <v>66</v>
      </c>
      <c r="H20" s="165">
        <v>70</v>
      </c>
      <c r="I20" s="165">
        <v>63</v>
      </c>
      <c r="J20" s="165">
        <v>38</v>
      </c>
      <c r="K20" s="165">
        <v>27</v>
      </c>
      <c r="L20" s="165">
        <v>7</v>
      </c>
      <c r="M20" s="165">
        <v>2</v>
      </c>
      <c r="N20" s="165">
        <v>3</v>
      </c>
      <c r="O20" s="165" t="s">
        <v>56</v>
      </c>
      <c r="P20" s="141">
        <v>66339</v>
      </c>
      <c r="Q20" s="142">
        <v>0.40097077134114173</v>
      </c>
    </row>
    <row r="21" spans="1:17" ht="13.5" customHeight="1">
      <c r="A21" s="79">
        <v>1993</v>
      </c>
      <c r="B21" s="74">
        <v>587</v>
      </c>
      <c r="C21" s="164">
        <v>537</v>
      </c>
      <c r="D21" s="164">
        <v>268</v>
      </c>
      <c r="E21" s="164">
        <v>264</v>
      </c>
      <c r="F21" s="164">
        <v>114</v>
      </c>
      <c r="G21" s="164">
        <v>109</v>
      </c>
      <c r="H21" s="164">
        <v>132</v>
      </c>
      <c r="I21" s="164">
        <v>117</v>
      </c>
      <c r="J21" s="164">
        <v>41</v>
      </c>
      <c r="K21" s="164">
        <v>32</v>
      </c>
      <c r="L21" s="164">
        <v>19</v>
      </c>
      <c r="M21" s="164">
        <v>10</v>
      </c>
      <c r="N21" s="164">
        <v>13</v>
      </c>
      <c r="O21" s="164">
        <v>5</v>
      </c>
      <c r="P21" s="128">
        <v>66571</v>
      </c>
      <c r="Q21" s="80">
        <v>0.88176533325321838</v>
      </c>
    </row>
    <row r="22" spans="1:17" ht="13.5" customHeight="1">
      <c r="A22" s="139">
        <v>1994</v>
      </c>
      <c r="B22" s="140">
        <v>790</v>
      </c>
      <c r="C22" s="165">
        <v>766</v>
      </c>
      <c r="D22" s="165">
        <v>385</v>
      </c>
      <c r="E22" s="165">
        <v>384</v>
      </c>
      <c r="F22" s="165">
        <v>193</v>
      </c>
      <c r="G22" s="165">
        <v>188</v>
      </c>
      <c r="H22" s="165">
        <v>148</v>
      </c>
      <c r="I22" s="165">
        <v>143</v>
      </c>
      <c r="J22" s="165">
        <v>49</v>
      </c>
      <c r="K22" s="165">
        <v>42</v>
      </c>
      <c r="L22" s="165">
        <v>10</v>
      </c>
      <c r="M22" s="165">
        <v>7</v>
      </c>
      <c r="N22" s="165">
        <v>5</v>
      </c>
      <c r="O22" s="165">
        <v>2</v>
      </c>
      <c r="P22" s="141">
        <v>66846</v>
      </c>
      <c r="Q22" s="142">
        <v>1.1818209017742274</v>
      </c>
    </row>
    <row r="23" spans="1:17" ht="13.5" customHeight="1">
      <c r="A23" s="79">
        <v>1995</v>
      </c>
      <c r="B23" s="75">
        <v>1448</v>
      </c>
      <c r="C23" s="150">
        <v>1282</v>
      </c>
      <c r="D23" s="164">
        <v>707</v>
      </c>
      <c r="E23" s="150">
        <v>703</v>
      </c>
      <c r="F23" s="164">
        <v>304</v>
      </c>
      <c r="G23" s="150">
        <v>270</v>
      </c>
      <c r="H23" s="164">
        <v>286</v>
      </c>
      <c r="I23" s="150">
        <v>215</v>
      </c>
      <c r="J23" s="164">
        <v>104</v>
      </c>
      <c r="K23" s="150">
        <v>69</v>
      </c>
      <c r="L23" s="164">
        <v>26</v>
      </c>
      <c r="M23" s="150">
        <v>19</v>
      </c>
      <c r="N23" s="164">
        <v>21</v>
      </c>
      <c r="O23" s="150">
        <v>6</v>
      </c>
      <c r="P23" s="128">
        <v>67034</v>
      </c>
      <c r="Q23" s="80">
        <v>2.1600978607870633</v>
      </c>
    </row>
    <row r="24" spans="1:17" ht="13.5" customHeight="1">
      <c r="A24" s="139">
        <v>1996</v>
      </c>
      <c r="B24" s="140">
        <v>1447</v>
      </c>
      <c r="C24" s="165">
        <v>1390</v>
      </c>
      <c r="D24" s="165">
        <v>753</v>
      </c>
      <c r="E24" s="165">
        <v>751</v>
      </c>
      <c r="F24" s="165">
        <v>398</v>
      </c>
      <c r="G24" s="165">
        <v>385</v>
      </c>
      <c r="H24" s="165">
        <v>184</v>
      </c>
      <c r="I24" s="165">
        <v>170</v>
      </c>
      <c r="J24" s="165">
        <v>78</v>
      </c>
      <c r="K24" s="165">
        <v>62</v>
      </c>
      <c r="L24" s="165">
        <v>21</v>
      </c>
      <c r="M24" s="165">
        <v>16</v>
      </c>
      <c r="N24" s="165">
        <v>13</v>
      </c>
      <c r="O24" s="165">
        <v>6</v>
      </c>
      <c r="P24" s="141">
        <v>67150</v>
      </c>
      <c r="Q24" s="142">
        <v>2.1548771407297096</v>
      </c>
    </row>
    <row r="25" spans="1:17" ht="13.5" customHeight="1">
      <c r="A25" s="79">
        <v>1997</v>
      </c>
      <c r="B25" s="75">
        <v>1593</v>
      </c>
      <c r="C25" s="150">
        <v>1552</v>
      </c>
      <c r="D25" s="164">
        <v>641</v>
      </c>
      <c r="E25" s="150">
        <v>640</v>
      </c>
      <c r="F25" s="164">
        <v>455</v>
      </c>
      <c r="G25" s="150">
        <v>446</v>
      </c>
      <c r="H25" s="164">
        <v>351</v>
      </c>
      <c r="I25" s="150">
        <v>340</v>
      </c>
      <c r="J25" s="164">
        <v>98</v>
      </c>
      <c r="K25" s="150">
        <v>87</v>
      </c>
      <c r="L25" s="164">
        <v>41</v>
      </c>
      <c r="M25" s="150">
        <v>33</v>
      </c>
      <c r="N25" s="164">
        <v>7</v>
      </c>
      <c r="O25" s="150">
        <v>6</v>
      </c>
      <c r="P25" s="128">
        <v>67288</v>
      </c>
      <c r="Q25" s="80">
        <v>2.3674355011294734</v>
      </c>
    </row>
    <row r="26" spans="1:17" ht="13.5" customHeight="1">
      <c r="A26" s="139">
        <v>1998</v>
      </c>
      <c r="B26" s="155">
        <v>1141</v>
      </c>
      <c r="C26" s="156">
        <v>1126</v>
      </c>
      <c r="D26" s="165">
        <v>464</v>
      </c>
      <c r="E26" s="165">
        <v>464</v>
      </c>
      <c r="F26" s="165">
        <v>276</v>
      </c>
      <c r="G26" s="165">
        <v>275</v>
      </c>
      <c r="H26" s="165">
        <v>272</v>
      </c>
      <c r="I26" s="165">
        <v>266</v>
      </c>
      <c r="J26" s="165">
        <v>83</v>
      </c>
      <c r="K26" s="165">
        <v>79</v>
      </c>
      <c r="L26" s="165">
        <v>34</v>
      </c>
      <c r="M26" s="165">
        <v>32</v>
      </c>
      <c r="N26" s="165">
        <v>12</v>
      </c>
      <c r="O26" s="165">
        <v>10</v>
      </c>
      <c r="P26" s="141">
        <v>67665</v>
      </c>
      <c r="Q26" s="142">
        <v>1.6862484297642799</v>
      </c>
    </row>
    <row r="27" spans="1:17" ht="13.5" customHeight="1">
      <c r="A27" s="79">
        <v>1999</v>
      </c>
      <c r="B27" s="74">
        <v>750</v>
      </c>
      <c r="C27" s="164">
        <v>744</v>
      </c>
      <c r="D27" s="164">
        <v>273</v>
      </c>
      <c r="E27" s="164">
        <v>272</v>
      </c>
      <c r="F27" s="164">
        <v>229</v>
      </c>
      <c r="G27" s="164">
        <v>227</v>
      </c>
      <c r="H27" s="164">
        <v>174</v>
      </c>
      <c r="I27" s="164">
        <v>174</v>
      </c>
      <c r="J27" s="164">
        <v>63</v>
      </c>
      <c r="K27" s="164">
        <v>62</v>
      </c>
      <c r="L27" s="164">
        <v>5</v>
      </c>
      <c r="M27" s="164">
        <v>5</v>
      </c>
      <c r="N27" s="164">
        <v>6</v>
      </c>
      <c r="O27" s="164">
        <v>4</v>
      </c>
      <c r="P27" s="128">
        <v>68065</v>
      </c>
      <c r="Q27" s="80">
        <v>1.101887901270844</v>
      </c>
    </row>
    <row r="28" spans="1:17" ht="13.5" customHeight="1">
      <c r="A28" s="139">
        <v>2000</v>
      </c>
      <c r="B28" s="140">
        <v>544</v>
      </c>
      <c r="C28" s="165">
        <v>534</v>
      </c>
      <c r="D28" s="165">
        <v>224</v>
      </c>
      <c r="E28" s="165">
        <v>222</v>
      </c>
      <c r="F28" s="165">
        <v>148</v>
      </c>
      <c r="G28" s="165">
        <v>147</v>
      </c>
      <c r="H28" s="165">
        <v>131</v>
      </c>
      <c r="I28" s="165">
        <v>130</v>
      </c>
      <c r="J28" s="165">
        <v>27</v>
      </c>
      <c r="K28" s="165">
        <v>24</v>
      </c>
      <c r="L28" s="165">
        <v>10</v>
      </c>
      <c r="M28" s="165">
        <v>9</v>
      </c>
      <c r="N28" s="165">
        <v>4</v>
      </c>
      <c r="O28" s="165">
        <v>2</v>
      </c>
      <c r="P28" s="141">
        <v>68065</v>
      </c>
      <c r="Q28" s="142">
        <v>0.7992360243884522</v>
      </c>
    </row>
    <row r="29" spans="1:17" ht="13.5" customHeight="1">
      <c r="A29" s="79">
        <v>2001</v>
      </c>
      <c r="B29" s="74">
        <v>292</v>
      </c>
      <c r="C29" s="164">
        <v>279</v>
      </c>
      <c r="D29" s="164">
        <v>131</v>
      </c>
      <c r="E29" s="164">
        <v>131</v>
      </c>
      <c r="F29" s="164">
        <v>87</v>
      </c>
      <c r="G29" s="164">
        <v>84</v>
      </c>
      <c r="H29" s="164">
        <v>47</v>
      </c>
      <c r="I29" s="164">
        <v>43</v>
      </c>
      <c r="J29" s="164">
        <v>16</v>
      </c>
      <c r="K29" s="164">
        <v>14</v>
      </c>
      <c r="L29" s="164">
        <v>7</v>
      </c>
      <c r="M29" s="164">
        <v>6</v>
      </c>
      <c r="N29" s="164">
        <v>4</v>
      </c>
      <c r="O29" s="164">
        <v>1</v>
      </c>
      <c r="P29" s="128">
        <v>69592</v>
      </c>
      <c r="Q29" s="80">
        <v>0.41958845844349923</v>
      </c>
    </row>
    <row r="30" spans="1:17" ht="13.5" customHeight="1">
      <c r="A30" s="139">
        <v>2002</v>
      </c>
      <c r="B30" s="140">
        <v>97</v>
      </c>
      <c r="C30" s="165">
        <v>80</v>
      </c>
      <c r="D30" s="165">
        <v>28</v>
      </c>
      <c r="E30" s="165">
        <v>27</v>
      </c>
      <c r="F30" s="165">
        <v>23</v>
      </c>
      <c r="G30" s="165">
        <v>23</v>
      </c>
      <c r="H30" s="165">
        <v>25</v>
      </c>
      <c r="I30" s="165">
        <v>18</v>
      </c>
      <c r="J30" s="165">
        <v>15</v>
      </c>
      <c r="K30" s="165">
        <v>8</v>
      </c>
      <c r="L30" s="165">
        <v>3</v>
      </c>
      <c r="M30" s="165">
        <v>3</v>
      </c>
      <c r="N30" s="165">
        <v>3</v>
      </c>
      <c r="O30" s="165">
        <v>1</v>
      </c>
      <c r="P30" s="141">
        <v>69659</v>
      </c>
      <c r="Q30" s="142">
        <v>0.139249773898563</v>
      </c>
    </row>
    <row r="31" spans="1:17" ht="13.5" customHeight="1">
      <c r="A31" s="79">
        <v>2003</v>
      </c>
      <c r="B31" s="74">
        <v>169</v>
      </c>
      <c r="C31" s="164">
        <v>151</v>
      </c>
      <c r="D31" s="164">
        <v>42</v>
      </c>
      <c r="E31" s="164">
        <v>42</v>
      </c>
      <c r="F31" s="164">
        <v>32</v>
      </c>
      <c r="G31" s="164">
        <v>31</v>
      </c>
      <c r="H31" s="164">
        <v>43</v>
      </c>
      <c r="I31" s="164">
        <v>41</v>
      </c>
      <c r="J31" s="164">
        <v>27</v>
      </c>
      <c r="K31" s="164">
        <v>19</v>
      </c>
      <c r="L31" s="164">
        <v>16</v>
      </c>
      <c r="M31" s="164">
        <v>13</v>
      </c>
      <c r="N31" s="164">
        <v>9</v>
      </c>
      <c r="O31" s="164">
        <v>5</v>
      </c>
      <c r="P31" s="128">
        <v>69912</v>
      </c>
      <c r="Q31" s="80">
        <v>0.24173246366861198</v>
      </c>
    </row>
    <row r="32" spans="1:17" ht="13.5" customHeight="1">
      <c r="A32" s="139">
        <v>2004</v>
      </c>
      <c r="B32" s="140">
        <v>170</v>
      </c>
      <c r="C32" s="165">
        <v>161</v>
      </c>
      <c r="D32" s="165">
        <v>51</v>
      </c>
      <c r="E32" s="165">
        <v>51</v>
      </c>
      <c r="F32" s="165">
        <v>19</v>
      </c>
      <c r="G32" s="165">
        <v>19</v>
      </c>
      <c r="H32" s="165">
        <v>42</v>
      </c>
      <c r="I32" s="165">
        <v>41</v>
      </c>
      <c r="J32" s="165">
        <v>29</v>
      </c>
      <c r="K32" s="165">
        <v>27</v>
      </c>
      <c r="L32" s="165">
        <v>21</v>
      </c>
      <c r="M32" s="165">
        <v>18</v>
      </c>
      <c r="N32" s="165">
        <v>8</v>
      </c>
      <c r="O32" s="165">
        <v>5</v>
      </c>
      <c r="P32" s="141">
        <v>70035</v>
      </c>
      <c r="Q32" s="142">
        <v>0.24273577496965804</v>
      </c>
    </row>
    <row r="33" spans="1:22" ht="13.5" customHeight="1">
      <c r="A33" s="79">
        <v>2005</v>
      </c>
      <c r="B33" s="73">
        <v>197</v>
      </c>
      <c r="C33" s="164">
        <v>165</v>
      </c>
      <c r="D33" s="217">
        <v>32</v>
      </c>
      <c r="E33" s="164">
        <v>32</v>
      </c>
      <c r="F33" s="218">
        <v>41</v>
      </c>
      <c r="G33" s="164">
        <v>41</v>
      </c>
      <c r="H33" s="218">
        <v>54</v>
      </c>
      <c r="I33" s="164">
        <v>50</v>
      </c>
      <c r="J33" s="218">
        <v>50</v>
      </c>
      <c r="K33" s="164">
        <v>28</v>
      </c>
      <c r="L33" s="218">
        <v>14</v>
      </c>
      <c r="M33" s="164">
        <v>10</v>
      </c>
      <c r="N33" s="218">
        <v>6</v>
      </c>
      <c r="O33" s="164">
        <v>4</v>
      </c>
      <c r="P33" s="128">
        <v>70343</v>
      </c>
      <c r="Q33" s="80">
        <v>0.28005629558022832</v>
      </c>
    </row>
    <row r="34" spans="1:22" ht="13.5" customHeight="1">
      <c r="A34" s="139">
        <v>2006</v>
      </c>
      <c r="B34" s="140">
        <v>169</v>
      </c>
      <c r="C34" s="165">
        <v>169</v>
      </c>
      <c r="D34" s="165">
        <v>55</v>
      </c>
      <c r="E34" s="165">
        <v>55</v>
      </c>
      <c r="F34" s="165">
        <v>27</v>
      </c>
      <c r="G34" s="165">
        <v>27</v>
      </c>
      <c r="H34" s="165">
        <v>43</v>
      </c>
      <c r="I34" s="165">
        <v>43</v>
      </c>
      <c r="J34" s="165">
        <v>25</v>
      </c>
      <c r="K34" s="165">
        <v>25</v>
      </c>
      <c r="L34" s="165">
        <v>13</v>
      </c>
      <c r="M34" s="165">
        <v>13</v>
      </c>
      <c r="N34" s="165">
        <v>6</v>
      </c>
      <c r="O34" s="165">
        <v>6</v>
      </c>
      <c r="P34" s="141">
        <v>70447</v>
      </c>
      <c r="Q34" s="142">
        <v>0.23989665990035061</v>
      </c>
    </row>
    <row r="35" spans="1:22" ht="13.5" customHeight="1">
      <c r="A35" s="79">
        <v>2007</v>
      </c>
      <c r="B35" s="73">
        <v>234</v>
      </c>
      <c r="C35" s="164">
        <v>227</v>
      </c>
      <c r="D35" s="219">
        <v>73</v>
      </c>
      <c r="E35" s="164">
        <v>73</v>
      </c>
      <c r="F35" s="218">
        <v>54</v>
      </c>
      <c r="G35" s="164">
        <v>54</v>
      </c>
      <c r="H35" s="218">
        <v>45</v>
      </c>
      <c r="I35" s="164">
        <v>45</v>
      </c>
      <c r="J35" s="218">
        <v>40</v>
      </c>
      <c r="K35" s="164">
        <v>38</v>
      </c>
      <c r="L35" s="218">
        <v>16</v>
      </c>
      <c r="M35" s="164">
        <v>13</v>
      </c>
      <c r="N35" s="218">
        <v>6</v>
      </c>
      <c r="O35" s="164">
        <v>4</v>
      </c>
      <c r="P35" s="128">
        <v>70897</v>
      </c>
      <c r="Q35" s="80">
        <v>0.33005627882703076</v>
      </c>
    </row>
    <row r="36" spans="1:22" ht="13.5" customHeight="1">
      <c r="A36" s="139">
        <v>2008</v>
      </c>
      <c r="B36" s="140">
        <v>53</v>
      </c>
      <c r="C36" s="165">
        <v>41</v>
      </c>
      <c r="D36" s="165">
        <v>13</v>
      </c>
      <c r="E36" s="165">
        <v>13</v>
      </c>
      <c r="F36" s="165">
        <v>13</v>
      </c>
      <c r="G36" s="165">
        <v>13</v>
      </c>
      <c r="H36" s="165">
        <v>6</v>
      </c>
      <c r="I36" s="165">
        <v>5</v>
      </c>
      <c r="J36" s="165">
        <v>11</v>
      </c>
      <c r="K36" s="165">
        <v>5</v>
      </c>
      <c r="L36" s="165">
        <v>7</v>
      </c>
      <c r="M36" s="165">
        <v>3</v>
      </c>
      <c r="N36" s="165">
        <v>3</v>
      </c>
      <c r="O36" s="165">
        <v>2</v>
      </c>
      <c r="P36" s="141">
        <v>71593</v>
      </c>
      <c r="Q36" s="142">
        <v>7.402958389786711E-2</v>
      </c>
    </row>
    <row r="37" spans="1:22" ht="13.5" customHeight="1">
      <c r="A37" s="79">
        <v>2009</v>
      </c>
      <c r="B37" s="73">
        <v>76</v>
      </c>
      <c r="C37" s="164">
        <v>75</v>
      </c>
      <c r="D37" s="219">
        <v>16</v>
      </c>
      <c r="E37" s="164">
        <v>16</v>
      </c>
      <c r="F37" s="218">
        <v>23</v>
      </c>
      <c r="G37" s="164">
        <v>23</v>
      </c>
      <c r="H37" s="218">
        <v>22</v>
      </c>
      <c r="I37" s="164">
        <v>22</v>
      </c>
      <c r="J37" s="218">
        <v>6</v>
      </c>
      <c r="K37" s="164">
        <v>6</v>
      </c>
      <c r="L37" s="218">
        <v>6</v>
      </c>
      <c r="M37" s="164">
        <v>6</v>
      </c>
      <c r="N37" s="218">
        <v>3</v>
      </c>
      <c r="O37" s="164">
        <v>2</v>
      </c>
      <c r="P37" s="129">
        <v>71765</v>
      </c>
      <c r="Q37" s="80">
        <v>0.105901205322929</v>
      </c>
    </row>
    <row r="38" spans="1:22" ht="13.5" customHeight="1">
      <c r="A38" s="139">
        <v>2010</v>
      </c>
      <c r="B38" s="140">
        <v>122</v>
      </c>
      <c r="C38" s="165">
        <v>121</v>
      </c>
      <c r="D38" s="165">
        <v>31</v>
      </c>
      <c r="E38" s="165">
        <v>31</v>
      </c>
      <c r="F38" s="165">
        <v>28</v>
      </c>
      <c r="G38" s="165">
        <v>28</v>
      </c>
      <c r="H38" s="165">
        <v>28</v>
      </c>
      <c r="I38" s="165">
        <v>28</v>
      </c>
      <c r="J38" s="165">
        <v>21</v>
      </c>
      <c r="K38" s="165">
        <v>21</v>
      </c>
      <c r="L38" s="165">
        <v>7</v>
      </c>
      <c r="M38" s="165">
        <v>7</v>
      </c>
      <c r="N38" s="165">
        <v>7</v>
      </c>
      <c r="O38" s="165">
        <v>6</v>
      </c>
      <c r="P38" s="141">
        <v>72113</v>
      </c>
      <c r="Q38" s="142">
        <v>0.16917892751653654</v>
      </c>
    </row>
    <row r="39" spans="1:22" ht="13.5" customHeight="1">
      <c r="A39" s="79">
        <v>2011</v>
      </c>
      <c r="B39" s="76">
        <v>89</v>
      </c>
      <c r="C39" s="164">
        <v>78</v>
      </c>
      <c r="D39" s="219">
        <v>28</v>
      </c>
      <c r="E39" s="164">
        <v>28</v>
      </c>
      <c r="F39" s="220">
        <v>13</v>
      </c>
      <c r="G39" s="164">
        <v>13</v>
      </c>
      <c r="H39" s="220">
        <v>22</v>
      </c>
      <c r="I39" s="164">
        <v>22</v>
      </c>
      <c r="J39" s="220">
        <v>15</v>
      </c>
      <c r="K39" s="164">
        <v>12</v>
      </c>
      <c r="L39" s="220">
        <v>4</v>
      </c>
      <c r="M39" s="164">
        <v>0</v>
      </c>
      <c r="N39" s="220">
        <v>7</v>
      </c>
      <c r="O39" s="164">
        <v>3</v>
      </c>
      <c r="P39" s="78">
        <v>73209</v>
      </c>
      <c r="Q39" s="80">
        <v>0.12156975235285279</v>
      </c>
    </row>
    <row r="40" spans="1:22" ht="13.5" customHeight="1">
      <c r="A40" s="139">
        <v>2012</v>
      </c>
      <c r="B40" s="140">
        <v>106</v>
      </c>
      <c r="C40" s="165">
        <v>91</v>
      </c>
      <c r="D40" s="165">
        <v>17</v>
      </c>
      <c r="E40" s="165">
        <v>17</v>
      </c>
      <c r="F40" s="165">
        <v>18</v>
      </c>
      <c r="G40" s="165">
        <v>15</v>
      </c>
      <c r="H40" s="165">
        <v>20</v>
      </c>
      <c r="I40" s="165">
        <v>19</v>
      </c>
      <c r="J40" s="165">
        <v>13</v>
      </c>
      <c r="K40" s="165">
        <v>11</v>
      </c>
      <c r="L40" s="165">
        <v>22</v>
      </c>
      <c r="M40" s="165">
        <v>18</v>
      </c>
      <c r="N40" s="165">
        <v>16</v>
      </c>
      <c r="O40" s="165">
        <v>11</v>
      </c>
      <c r="P40" s="141">
        <v>73712</v>
      </c>
      <c r="Q40" s="142">
        <v>0.14380290861732148</v>
      </c>
    </row>
    <row r="41" spans="1:22" ht="13.5" customHeight="1">
      <c r="A41" s="79">
        <v>2013</v>
      </c>
      <c r="B41" s="76">
        <v>108</v>
      </c>
      <c r="C41" s="164">
        <v>95</v>
      </c>
      <c r="D41" s="219">
        <v>15</v>
      </c>
      <c r="E41" s="164">
        <v>15</v>
      </c>
      <c r="F41" s="220">
        <v>20</v>
      </c>
      <c r="G41" s="164">
        <v>18</v>
      </c>
      <c r="H41" s="220">
        <v>24</v>
      </c>
      <c r="I41" s="164">
        <v>21</v>
      </c>
      <c r="J41" s="220">
        <v>21</v>
      </c>
      <c r="K41" s="164">
        <v>18</v>
      </c>
      <c r="L41" s="220">
        <v>15</v>
      </c>
      <c r="M41" s="164">
        <v>12</v>
      </c>
      <c r="N41" s="220">
        <v>13</v>
      </c>
      <c r="O41" s="164">
        <v>11</v>
      </c>
      <c r="P41" s="78">
        <v>74338</v>
      </c>
      <c r="Q41" s="80">
        <v>0.15</v>
      </c>
    </row>
    <row r="42" spans="1:22" ht="13.5" customHeight="1">
      <c r="A42" s="139">
        <v>2014</v>
      </c>
      <c r="B42" s="140">
        <v>60</v>
      </c>
      <c r="C42" s="165">
        <v>44</v>
      </c>
      <c r="D42" s="165">
        <v>5</v>
      </c>
      <c r="E42" s="165">
        <v>3</v>
      </c>
      <c r="F42" s="165">
        <v>10</v>
      </c>
      <c r="G42" s="165">
        <v>9</v>
      </c>
      <c r="H42" s="165">
        <v>12</v>
      </c>
      <c r="I42" s="165">
        <v>11</v>
      </c>
      <c r="J42" s="165">
        <v>11</v>
      </c>
      <c r="K42" s="165">
        <v>10</v>
      </c>
      <c r="L42" s="165">
        <v>10</v>
      </c>
      <c r="M42" s="165">
        <v>6</v>
      </c>
      <c r="N42" s="165">
        <v>12</v>
      </c>
      <c r="O42" s="165">
        <v>5</v>
      </c>
      <c r="P42" s="141">
        <v>75025</v>
      </c>
      <c r="Q42" s="142">
        <v>0.08</v>
      </c>
    </row>
    <row r="43" spans="1:22" ht="13.5" customHeight="1">
      <c r="A43" s="79">
        <v>2015</v>
      </c>
      <c r="B43" s="76">
        <v>106</v>
      </c>
      <c r="C43" s="164">
        <v>70</v>
      </c>
      <c r="D43" s="219">
        <v>27</v>
      </c>
      <c r="E43" s="164">
        <v>26</v>
      </c>
      <c r="F43" s="220">
        <v>16</v>
      </c>
      <c r="G43" s="164">
        <v>15</v>
      </c>
      <c r="H43" s="220">
        <v>21</v>
      </c>
      <c r="I43" s="164">
        <v>14</v>
      </c>
      <c r="J43" s="220">
        <v>14</v>
      </c>
      <c r="K43" s="164">
        <v>9</v>
      </c>
      <c r="L43" s="220">
        <v>7</v>
      </c>
      <c r="M43" s="164">
        <v>2</v>
      </c>
      <c r="N43" s="220">
        <v>21</v>
      </c>
      <c r="O43" s="164">
        <v>4</v>
      </c>
      <c r="P43" s="78">
        <v>75183</v>
      </c>
      <c r="Q43" s="81">
        <v>0.14000000000000001</v>
      </c>
    </row>
    <row r="44" spans="1:22" ht="13.5" customHeight="1">
      <c r="A44" s="139">
        <v>2016</v>
      </c>
      <c r="B44" s="140">
        <v>217</v>
      </c>
      <c r="C44" s="165">
        <v>205</v>
      </c>
      <c r="D44" s="165">
        <v>37</v>
      </c>
      <c r="E44" s="165">
        <v>37</v>
      </c>
      <c r="F44" s="165">
        <v>36</v>
      </c>
      <c r="G44" s="165">
        <v>35</v>
      </c>
      <c r="H44" s="165">
        <v>48</v>
      </c>
      <c r="I44" s="165">
        <v>47</v>
      </c>
      <c r="J44" s="165">
        <v>52</v>
      </c>
      <c r="K44" s="165">
        <v>51</v>
      </c>
      <c r="L44" s="165">
        <v>26</v>
      </c>
      <c r="M44" s="165">
        <v>24</v>
      </c>
      <c r="N44" s="165">
        <v>18</v>
      </c>
      <c r="O44" s="165">
        <v>11</v>
      </c>
      <c r="P44" s="36">
        <v>75888</v>
      </c>
      <c r="Q44" s="147">
        <v>0.28999999999999998</v>
      </c>
    </row>
    <row r="45" spans="1:22" ht="13.5" customHeight="1">
      <c r="A45" s="79">
        <v>2017</v>
      </c>
      <c r="B45" s="76">
        <v>291</v>
      </c>
      <c r="C45" s="164">
        <v>256</v>
      </c>
      <c r="D45" s="219">
        <v>57</v>
      </c>
      <c r="E45" s="164">
        <v>57</v>
      </c>
      <c r="F45" s="220">
        <v>63</v>
      </c>
      <c r="G45" s="164">
        <v>61</v>
      </c>
      <c r="H45" s="220">
        <v>67</v>
      </c>
      <c r="I45" s="164">
        <v>64</v>
      </c>
      <c r="J45" s="220">
        <v>72</v>
      </c>
      <c r="K45" s="164">
        <v>58</v>
      </c>
      <c r="L45" s="220">
        <v>13</v>
      </c>
      <c r="M45" s="164">
        <v>9</v>
      </c>
      <c r="N45" s="220">
        <v>19</v>
      </c>
      <c r="O45" s="164">
        <v>7</v>
      </c>
      <c r="P45" s="8">
        <v>77213</v>
      </c>
      <c r="Q45" s="81">
        <v>0.37687954100993359</v>
      </c>
      <c r="R45" s="161"/>
      <c r="S45" s="161"/>
      <c r="T45" s="161"/>
      <c r="U45" s="161"/>
      <c r="V45" s="161"/>
    </row>
    <row r="46" spans="1:22" ht="13.5" customHeight="1">
      <c r="A46" s="139">
        <v>2018</v>
      </c>
      <c r="B46" s="140">
        <v>526</v>
      </c>
      <c r="C46" s="165">
        <v>514</v>
      </c>
      <c r="D46" s="165">
        <v>168</v>
      </c>
      <c r="E46" s="165">
        <v>168</v>
      </c>
      <c r="F46" s="165">
        <v>75</v>
      </c>
      <c r="G46" s="165">
        <v>74</v>
      </c>
      <c r="H46" s="165">
        <v>76</v>
      </c>
      <c r="I46" s="165">
        <v>74</v>
      </c>
      <c r="J46" s="165">
        <v>41</v>
      </c>
      <c r="K46" s="165">
        <v>33</v>
      </c>
      <c r="L46" s="165">
        <v>158</v>
      </c>
      <c r="M46" s="165">
        <v>158</v>
      </c>
      <c r="N46" s="165">
        <v>8</v>
      </c>
      <c r="O46" s="165">
        <v>7</v>
      </c>
      <c r="P46" s="36">
        <v>77533</v>
      </c>
      <c r="Q46" s="147">
        <v>0.67842080146518258</v>
      </c>
      <c r="R46" s="161"/>
      <c r="S46" s="161"/>
      <c r="T46" s="161"/>
      <c r="U46" s="161"/>
      <c r="V46" s="161"/>
    </row>
    <row r="47" spans="1:22" ht="13.5" customHeight="1">
      <c r="A47" s="79">
        <v>2019</v>
      </c>
      <c r="B47" s="76">
        <v>277</v>
      </c>
      <c r="C47" s="164">
        <v>274</v>
      </c>
      <c r="D47" s="219">
        <v>86</v>
      </c>
      <c r="E47" s="164">
        <v>86</v>
      </c>
      <c r="F47" s="220">
        <v>77</v>
      </c>
      <c r="G47" s="164">
        <v>77</v>
      </c>
      <c r="H47" s="220">
        <v>67</v>
      </c>
      <c r="I47" s="164">
        <v>66</v>
      </c>
      <c r="J47" s="220">
        <v>26</v>
      </c>
      <c r="K47" s="164">
        <v>26</v>
      </c>
      <c r="L47" s="220">
        <v>14</v>
      </c>
      <c r="M47" s="164">
        <v>12</v>
      </c>
      <c r="N47" s="220">
        <v>7</v>
      </c>
      <c r="O47" s="164">
        <v>7</v>
      </c>
      <c r="P47" s="8">
        <v>78257</v>
      </c>
      <c r="Q47" s="81">
        <v>0.35</v>
      </c>
      <c r="R47" s="161"/>
      <c r="S47" s="161"/>
      <c r="T47" s="161"/>
      <c r="U47" s="161"/>
      <c r="V47" s="161"/>
    </row>
    <row r="48" spans="1:22" ht="13.5" customHeight="1">
      <c r="A48" s="139">
        <v>2020</v>
      </c>
      <c r="B48" s="140">
        <v>380</v>
      </c>
      <c r="C48" s="165">
        <v>369</v>
      </c>
      <c r="D48" s="165">
        <v>117</v>
      </c>
      <c r="E48" s="165">
        <v>117</v>
      </c>
      <c r="F48" s="165">
        <v>66</v>
      </c>
      <c r="G48" s="165">
        <v>66</v>
      </c>
      <c r="H48" s="165">
        <v>105</v>
      </c>
      <c r="I48" s="165">
        <v>100</v>
      </c>
      <c r="J48" s="165">
        <v>58</v>
      </c>
      <c r="K48" s="165">
        <v>54</v>
      </c>
      <c r="L48" s="165">
        <v>22</v>
      </c>
      <c r="M48" s="165">
        <v>21</v>
      </c>
      <c r="N48" s="165">
        <v>12</v>
      </c>
      <c r="O48" s="165">
        <v>11</v>
      </c>
      <c r="P48" s="36">
        <v>79082</v>
      </c>
      <c r="Q48" s="147">
        <v>0.48</v>
      </c>
    </row>
    <row r="49" spans="1:22" ht="13.5" customHeight="1">
      <c r="A49" s="79">
        <v>2021</v>
      </c>
      <c r="B49" s="76">
        <v>572</v>
      </c>
      <c r="C49" s="164">
        <v>566</v>
      </c>
      <c r="D49" s="219">
        <v>195</v>
      </c>
      <c r="E49" s="164">
        <v>195</v>
      </c>
      <c r="F49" s="220">
        <v>138</v>
      </c>
      <c r="G49" s="164">
        <v>138</v>
      </c>
      <c r="H49" s="220">
        <v>161</v>
      </c>
      <c r="I49" s="164">
        <v>157</v>
      </c>
      <c r="J49" s="220">
        <v>49</v>
      </c>
      <c r="K49" s="164">
        <v>48</v>
      </c>
      <c r="L49" s="220">
        <v>18</v>
      </c>
      <c r="M49" s="164">
        <v>18</v>
      </c>
      <c r="N49" s="220">
        <v>11</v>
      </c>
      <c r="O49" s="164">
        <v>10</v>
      </c>
      <c r="P49" s="8">
        <v>79524</v>
      </c>
      <c r="Q49" s="81">
        <v>0.72</v>
      </c>
      <c r="R49" s="161"/>
      <c r="S49" s="161"/>
      <c r="T49" s="161"/>
      <c r="U49" s="161"/>
      <c r="V49" s="161"/>
    </row>
    <row r="50" spans="1:22" ht="13.5" customHeight="1">
      <c r="A50" s="139">
        <v>2022</v>
      </c>
      <c r="B50" s="140">
        <v>394</v>
      </c>
      <c r="C50" s="165">
        <v>385</v>
      </c>
      <c r="D50" s="165">
        <v>110</v>
      </c>
      <c r="E50" s="165">
        <v>110</v>
      </c>
      <c r="F50" s="165">
        <v>108</v>
      </c>
      <c r="G50" s="165">
        <v>108</v>
      </c>
      <c r="H50" s="165">
        <v>120</v>
      </c>
      <c r="I50" s="165">
        <v>115</v>
      </c>
      <c r="J50" s="165">
        <v>34</v>
      </c>
      <c r="K50" s="165">
        <v>32</v>
      </c>
      <c r="L50" s="165">
        <v>16</v>
      </c>
      <c r="M50" s="165">
        <v>15</v>
      </c>
      <c r="N50" s="165">
        <v>6</v>
      </c>
      <c r="O50" s="165">
        <v>5</v>
      </c>
      <c r="P50" s="36">
        <v>80125</v>
      </c>
      <c r="Q50" s="147">
        <v>0.49</v>
      </c>
    </row>
    <row r="51" spans="1:22" ht="13.5" customHeight="1">
      <c r="A51" s="79">
        <v>2023</v>
      </c>
      <c r="B51" s="76">
        <v>417</v>
      </c>
      <c r="C51" s="164">
        <v>394</v>
      </c>
      <c r="D51" s="12">
        <v>105</v>
      </c>
      <c r="E51" s="219">
        <v>101</v>
      </c>
      <c r="F51" s="12">
        <v>108</v>
      </c>
      <c r="G51" s="164">
        <v>104</v>
      </c>
      <c r="H51" s="12">
        <v>117</v>
      </c>
      <c r="I51" s="220">
        <v>114</v>
      </c>
      <c r="J51" s="12">
        <v>59</v>
      </c>
      <c r="K51" s="164">
        <v>52</v>
      </c>
      <c r="L51" s="12">
        <v>13</v>
      </c>
      <c r="M51" s="220">
        <v>12</v>
      </c>
      <c r="N51" s="12">
        <v>15</v>
      </c>
      <c r="O51" s="164">
        <v>11</v>
      </c>
      <c r="P51" s="8">
        <v>80756</v>
      </c>
      <c r="Q51" s="81">
        <v>0.52</v>
      </c>
      <c r="R51" s="161"/>
      <c r="S51" s="161"/>
      <c r="T51" s="161"/>
      <c r="U51" s="161"/>
      <c r="V51" s="161"/>
    </row>
    <row r="52" spans="1:22" ht="13.5" customHeight="1">
      <c r="A52" s="139">
        <v>2024</v>
      </c>
      <c r="B52" s="140">
        <v>445</v>
      </c>
      <c r="C52" s="165">
        <v>418</v>
      </c>
      <c r="D52" s="140">
        <v>90</v>
      </c>
      <c r="E52" s="165">
        <v>89</v>
      </c>
      <c r="F52" s="140">
        <v>105</v>
      </c>
      <c r="G52" s="165">
        <v>101</v>
      </c>
      <c r="H52" s="140">
        <v>151</v>
      </c>
      <c r="I52" s="165">
        <v>146</v>
      </c>
      <c r="J52" s="140">
        <v>60</v>
      </c>
      <c r="K52" s="165">
        <v>51</v>
      </c>
      <c r="L52" s="140">
        <v>24</v>
      </c>
      <c r="M52" s="140">
        <v>22</v>
      </c>
      <c r="N52" s="140">
        <v>15</v>
      </c>
      <c r="O52" s="165">
        <v>9</v>
      </c>
      <c r="P52" s="36">
        <v>81645</v>
      </c>
      <c r="Q52" s="147">
        <v>0.55000000000000004</v>
      </c>
    </row>
    <row r="53" spans="1:22" ht="13.5" customHeight="1">
      <c r="A53" s="79">
        <v>2025</v>
      </c>
      <c r="B53" s="74">
        <v>476</v>
      </c>
      <c r="C53" s="164">
        <v>455</v>
      </c>
      <c r="D53" s="74">
        <v>84</v>
      </c>
      <c r="E53" s="164">
        <v>83</v>
      </c>
      <c r="F53" s="74">
        <v>144</v>
      </c>
      <c r="G53" s="164">
        <v>141</v>
      </c>
      <c r="H53" s="74">
        <v>143</v>
      </c>
      <c r="I53" s="164">
        <v>139</v>
      </c>
      <c r="J53" s="74">
        <v>74</v>
      </c>
      <c r="K53" s="164">
        <v>69</v>
      </c>
      <c r="L53" s="74">
        <v>20</v>
      </c>
      <c r="M53" s="74">
        <v>14</v>
      </c>
      <c r="N53" s="74">
        <v>11</v>
      </c>
      <c r="O53" s="164">
        <v>9</v>
      </c>
      <c r="P53" s="8">
        <v>82321</v>
      </c>
      <c r="Q53" s="81">
        <v>0.57999999999999996</v>
      </c>
    </row>
    <row r="54" spans="1:22" ht="13.5" customHeight="1">
      <c r="A54" s="79"/>
      <c r="B54" s="76"/>
      <c r="C54" s="74"/>
      <c r="D54" s="74"/>
      <c r="E54" s="77"/>
      <c r="F54" s="76"/>
      <c r="G54" s="77"/>
      <c r="H54" s="76"/>
      <c r="I54" s="77"/>
      <c r="J54" s="76"/>
      <c r="K54" s="77"/>
      <c r="L54" s="76"/>
      <c r="M54" s="77"/>
      <c r="N54" s="76"/>
      <c r="O54" s="77"/>
      <c r="P54" s="78"/>
      <c r="Q54" s="81"/>
    </row>
    <row r="55" spans="1:22" ht="13.5" customHeight="1">
      <c r="A55" s="73" t="s">
        <v>80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</row>
    <row r="56" spans="1:22" ht="13.5" customHeight="1">
      <c r="A56" s="73" t="s">
        <v>81</v>
      </c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</row>
    <row r="57" spans="1:22" ht="13.5" customHeight="1">
      <c r="A57" s="130" t="s">
        <v>82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</row>
    <row r="58" spans="1:22" ht="13.5" customHeight="1">
      <c r="A58" s="79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</row>
    <row r="59" spans="1:22" ht="13.5" customHeight="1">
      <c r="A59" s="131" t="s">
        <v>100</v>
      </c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</row>
    <row r="60" spans="1:22" ht="13.5" customHeight="1"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</row>
  </sheetData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11"/>
  <sheetViews>
    <sheetView zoomScaleNormal="100" workbookViewId="0">
      <selection activeCell="I66" sqref="I66"/>
    </sheetView>
  </sheetViews>
  <sheetFormatPr baseColWidth="10" defaultColWidth="11.5" defaultRowHeight="13.5" customHeight="1"/>
  <cols>
    <col min="1" max="1" width="35.6640625" style="12" customWidth="1"/>
    <col min="2" max="8" width="10.6640625" style="12" customWidth="1"/>
    <col min="9" max="9" width="11.5" style="12"/>
    <col min="10" max="10" width="12.33203125" style="12" customWidth="1"/>
    <col min="11" max="16384" width="11.5" style="12"/>
  </cols>
  <sheetData>
    <row r="1" spans="1:11" ht="13.5" customHeight="1">
      <c r="A1" s="90" t="s">
        <v>193</v>
      </c>
      <c r="B1" s="161"/>
      <c r="C1" s="161"/>
      <c r="D1" s="161"/>
      <c r="E1" s="161"/>
      <c r="F1" s="161"/>
      <c r="G1" s="161"/>
      <c r="H1" s="161"/>
    </row>
    <row r="2" spans="1:11" ht="13.5" customHeight="1">
      <c r="A2" s="41" t="s">
        <v>1</v>
      </c>
      <c r="B2" s="161"/>
      <c r="C2" s="161"/>
      <c r="D2" s="161"/>
      <c r="E2" s="161"/>
      <c r="F2" s="161"/>
      <c r="G2" s="161"/>
      <c r="H2" s="161"/>
    </row>
    <row r="3" spans="1:11" ht="13.5" customHeight="1">
      <c r="A3" s="161"/>
      <c r="C3"/>
      <c r="D3"/>
      <c r="E3"/>
      <c r="F3"/>
      <c r="G3"/>
    </row>
    <row r="4" spans="1:11" ht="13.5" customHeight="1">
      <c r="A4" s="101"/>
      <c r="B4" s="101"/>
      <c r="C4" s="103"/>
      <c r="D4" s="103"/>
      <c r="E4" s="103"/>
      <c r="F4" s="103"/>
      <c r="G4" s="103"/>
      <c r="H4" s="104" t="s">
        <v>42</v>
      </c>
      <c r="J4" s="167" t="s">
        <v>125</v>
      </c>
      <c r="K4" s="168"/>
    </row>
    <row r="5" spans="1:11" ht="13.5" customHeight="1">
      <c r="A5" s="102"/>
      <c r="B5" s="100" t="s">
        <v>2</v>
      </c>
      <c r="C5" s="100">
        <v>1</v>
      </c>
      <c r="D5" s="100">
        <v>2</v>
      </c>
      <c r="E5" s="100">
        <v>3</v>
      </c>
      <c r="F5" s="100">
        <v>4</v>
      </c>
      <c r="G5" s="100">
        <v>5</v>
      </c>
      <c r="H5" s="100" t="s">
        <v>66</v>
      </c>
      <c r="J5" s="169">
        <v>2023</v>
      </c>
      <c r="K5" s="169">
        <v>2016</v>
      </c>
    </row>
    <row r="6" spans="1:11" ht="13.5" customHeight="1">
      <c r="A6" s="37" t="s">
        <v>2</v>
      </c>
      <c r="B6" s="36">
        <v>82321</v>
      </c>
      <c r="C6" s="36">
        <v>12642</v>
      </c>
      <c r="D6" s="36">
        <v>22376</v>
      </c>
      <c r="E6" s="36">
        <v>26416</v>
      </c>
      <c r="F6" s="36">
        <v>13489</v>
      </c>
      <c r="G6" s="36">
        <v>4818</v>
      </c>
      <c r="H6" s="36">
        <v>2580</v>
      </c>
      <c r="J6" s="169">
        <v>2022</v>
      </c>
      <c r="K6" s="169">
        <v>2015</v>
      </c>
    </row>
    <row r="7" spans="1:11" ht="13.5" customHeight="1">
      <c r="A7" s="37" t="s">
        <v>5</v>
      </c>
      <c r="B7" s="105"/>
      <c r="C7" s="105"/>
      <c r="D7" s="105"/>
      <c r="E7" s="105"/>
      <c r="F7" s="105"/>
      <c r="G7" s="105"/>
      <c r="H7" s="105"/>
      <c r="J7" s="169">
        <v>2021</v>
      </c>
      <c r="K7" s="169">
        <v>2014</v>
      </c>
    </row>
    <row r="8" spans="1:11" ht="13.5" customHeight="1">
      <c r="A8" s="9" t="s">
        <v>6</v>
      </c>
      <c r="B8" s="42">
        <v>2192</v>
      </c>
      <c r="C8" s="42">
        <v>13</v>
      </c>
      <c r="D8" s="42">
        <v>40</v>
      </c>
      <c r="E8" s="42">
        <v>156</v>
      </c>
      <c r="F8" s="42">
        <v>435</v>
      </c>
      <c r="G8" s="42">
        <v>728</v>
      </c>
      <c r="H8" s="42">
        <v>820</v>
      </c>
      <c r="I8" s="8"/>
      <c r="J8" s="169">
        <v>2020</v>
      </c>
      <c r="K8" s="169">
        <v>2013</v>
      </c>
    </row>
    <row r="9" spans="1:11" ht="13.5" customHeight="1">
      <c r="A9" s="9" t="s">
        <v>7</v>
      </c>
      <c r="B9" s="42">
        <v>48825</v>
      </c>
      <c r="C9" s="42">
        <v>6515</v>
      </c>
      <c r="D9" s="42">
        <v>13722</v>
      </c>
      <c r="E9" s="42">
        <v>16400</v>
      </c>
      <c r="F9" s="42">
        <v>8453</v>
      </c>
      <c r="G9" s="42">
        <v>2643</v>
      </c>
      <c r="H9" s="42">
        <v>1092</v>
      </c>
      <c r="I9" s="8"/>
      <c r="J9" s="169">
        <v>2019</v>
      </c>
      <c r="K9" s="169">
        <v>2012</v>
      </c>
    </row>
    <row r="10" spans="1:11" ht="13.5" customHeight="1">
      <c r="A10" s="10" t="s">
        <v>8</v>
      </c>
      <c r="B10" s="42">
        <v>30583</v>
      </c>
      <c r="C10" s="42">
        <v>5822</v>
      </c>
      <c r="D10" s="42">
        <v>8520</v>
      </c>
      <c r="E10" s="42">
        <v>9731</v>
      </c>
      <c r="F10" s="42">
        <v>4474</v>
      </c>
      <c r="G10" s="42">
        <v>1400</v>
      </c>
      <c r="H10" s="42">
        <v>636</v>
      </c>
      <c r="I10" s="8"/>
      <c r="J10" s="169">
        <v>2018</v>
      </c>
      <c r="K10" s="169">
        <v>2011</v>
      </c>
    </row>
    <row r="11" spans="1:11" ht="13.5" customHeight="1">
      <c r="A11" s="10" t="s">
        <v>65</v>
      </c>
      <c r="B11" s="42">
        <v>721</v>
      </c>
      <c r="C11" s="42">
        <v>292</v>
      </c>
      <c r="D11" s="42">
        <v>94</v>
      </c>
      <c r="E11" s="42">
        <v>129</v>
      </c>
      <c r="F11" s="42">
        <v>127</v>
      </c>
      <c r="G11" s="42">
        <v>47</v>
      </c>
      <c r="H11" s="42">
        <v>32</v>
      </c>
      <c r="I11" s="8"/>
      <c r="J11" s="169">
        <v>2017</v>
      </c>
      <c r="K11" s="169">
        <v>2010</v>
      </c>
    </row>
    <row r="12" spans="1:11" ht="13.5" customHeight="1">
      <c r="A12" s="106" t="s">
        <v>39</v>
      </c>
      <c r="B12" s="105"/>
      <c r="C12" s="105"/>
      <c r="D12" s="105"/>
      <c r="E12" s="105"/>
      <c r="F12" s="105"/>
      <c r="G12" s="105"/>
      <c r="H12" s="105"/>
    </row>
    <row r="13" spans="1:11" ht="13.5" customHeight="1">
      <c r="A13" s="9" t="s">
        <v>10</v>
      </c>
      <c r="B13" s="42">
        <v>12834</v>
      </c>
      <c r="C13" s="42">
        <v>1770</v>
      </c>
      <c r="D13" s="42">
        <v>2725</v>
      </c>
      <c r="E13" s="42">
        <v>4002</v>
      </c>
      <c r="F13" s="42">
        <v>2210</v>
      </c>
      <c r="G13" s="42">
        <v>1221</v>
      </c>
      <c r="H13" s="42">
        <v>906</v>
      </c>
      <c r="I13" s="8"/>
    </row>
    <row r="14" spans="1:11" ht="13.5" customHeight="1">
      <c r="A14" s="9" t="s">
        <v>11</v>
      </c>
      <c r="B14" s="42">
        <v>14754</v>
      </c>
      <c r="C14" s="42">
        <v>2169</v>
      </c>
      <c r="D14" s="42">
        <v>4918</v>
      </c>
      <c r="E14" s="42">
        <v>4722</v>
      </c>
      <c r="F14" s="42">
        <v>1646</v>
      </c>
      <c r="G14" s="42">
        <v>780</v>
      </c>
      <c r="H14" s="42">
        <v>519</v>
      </c>
      <c r="I14" s="8"/>
    </row>
    <row r="15" spans="1:11" ht="13.5" customHeight="1">
      <c r="A15" s="9" t="s">
        <v>12</v>
      </c>
      <c r="B15" s="42">
        <v>17811</v>
      </c>
      <c r="C15" s="42">
        <v>2680</v>
      </c>
      <c r="D15" s="42">
        <v>6688</v>
      </c>
      <c r="E15" s="42">
        <v>5832</v>
      </c>
      <c r="F15" s="42">
        <v>1742</v>
      </c>
      <c r="G15" s="42">
        <v>559</v>
      </c>
      <c r="H15" s="42">
        <v>310</v>
      </c>
      <c r="I15" s="8"/>
    </row>
    <row r="16" spans="1:11" ht="13.5" customHeight="1">
      <c r="A16" s="9" t="s">
        <v>13</v>
      </c>
      <c r="B16" s="42">
        <v>13926</v>
      </c>
      <c r="C16" s="42">
        <v>3220</v>
      </c>
      <c r="D16" s="42">
        <v>3318</v>
      </c>
      <c r="E16" s="42">
        <v>4634</v>
      </c>
      <c r="F16" s="42">
        <v>1880</v>
      </c>
      <c r="G16" s="42">
        <v>516</v>
      </c>
      <c r="H16" s="42">
        <v>358</v>
      </c>
      <c r="I16" s="8"/>
    </row>
    <row r="17" spans="1:17" ht="13.5" customHeight="1">
      <c r="A17" s="9" t="s">
        <v>14</v>
      </c>
      <c r="B17" s="42">
        <v>5879</v>
      </c>
      <c r="C17" s="42">
        <v>1188</v>
      </c>
      <c r="D17" s="42">
        <v>1097</v>
      </c>
      <c r="E17" s="42">
        <v>1844</v>
      </c>
      <c r="F17" s="42">
        <v>1240</v>
      </c>
      <c r="G17" s="42">
        <v>403</v>
      </c>
      <c r="H17" s="42">
        <v>107</v>
      </c>
      <c r="I17" s="8"/>
    </row>
    <row r="18" spans="1:17" ht="13.5" customHeight="1">
      <c r="A18" s="9" t="s">
        <v>15</v>
      </c>
      <c r="B18" s="42">
        <v>1842</v>
      </c>
      <c r="C18" s="42">
        <v>69</v>
      </c>
      <c r="D18" s="42">
        <v>304</v>
      </c>
      <c r="E18" s="42">
        <v>529</v>
      </c>
      <c r="F18" s="42">
        <v>659</v>
      </c>
      <c r="G18" s="42">
        <v>213</v>
      </c>
      <c r="H18" s="42">
        <v>68</v>
      </c>
      <c r="I18" s="8"/>
    </row>
    <row r="19" spans="1:17" ht="13.5" customHeight="1">
      <c r="A19" s="9" t="s">
        <v>16</v>
      </c>
      <c r="B19" s="42">
        <v>1772</v>
      </c>
      <c r="C19" s="42">
        <v>122</v>
      </c>
      <c r="D19" s="42">
        <v>371</v>
      </c>
      <c r="E19" s="42">
        <v>533</v>
      </c>
      <c r="F19" s="42">
        <v>515</v>
      </c>
      <c r="G19" s="42">
        <v>185</v>
      </c>
      <c r="H19" s="42">
        <v>46</v>
      </c>
      <c r="I19" s="8"/>
    </row>
    <row r="20" spans="1:17" ht="13.5" customHeight="1">
      <c r="A20" s="9" t="s">
        <v>17</v>
      </c>
      <c r="B20" s="42">
        <v>1011</v>
      </c>
      <c r="C20" s="42">
        <v>193</v>
      </c>
      <c r="D20" s="42">
        <v>224</v>
      </c>
      <c r="E20" s="42">
        <v>301</v>
      </c>
      <c r="F20" s="42">
        <v>167</v>
      </c>
      <c r="G20" s="42">
        <v>103</v>
      </c>
      <c r="H20" s="42">
        <v>23</v>
      </c>
      <c r="I20" s="8"/>
    </row>
    <row r="21" spans="1:17" ht="13.5" customHeight="1">
      <c r="A21" s="9" t="s">
        <v>18</v>
      </c>
      <c r="B21" s="42">
        <v>995</v>
      </c>
      <c r="C21" s="42">
        <v>28</v>
      </c>
      <c r="D21" s="42">
        <v>128</v>
      </c>
      <c r="E21" s="42">
        <v>361</v>
      </c>
      <c r="F21" s="42">
        <v>317</v>
      </c>
      <c r="G21" s="42">
        <v>111</v>
      </c>
      <c r="H21" s="42">
        <v>50</v>
      </c>
      <c r="I21" s="8"/>
    </row>
    <row r="22" spans="1:17" ht="13.5" customHeight="1">
      <c r="A22" s="9" t="s">
        <v>19</v>
      </c>
      <c r="B22" s="42">
        <v>1001</v>
      </c>
      <c r="C22" s="42">
        <v>37</v>
      </c>
      <c r="D22" s="42">
        <v>85</v>
      </c>
      <c r="E22" s="42">
        <v>227</v>
      </c>
      <c r="F22" s="42">
        <v>437</v>
      </c>
      <c r="G22" s="42">
        <v>166</v>
      </c>
      <c r="H22" s="42">
        <v>49</v>
      </c>
      <c r="I22" s="8"/>
    </row>
    <row r="23" spans="1:17" ht="13.5" customHeight="1">
      <c r="A23" s="9" t="s">
        <v>20</v>
      </c>
      <c r="B23" s="42">
        <v>2223</v>
      </c>
      <c r="C23" s="42">
        <v>122</v>
      </c>
      <c r="D23" s="42">
        <v>349</v>
      </c>
      <c r="E23" s="42">
        <v>605</v>
      </c>
      <c r="F23" s="42">
        <v>856</v>
      </c>
      <c r="G23" s="42">
        <v>214</v>
      </c>
      <c r="H23" s="42">
        <v>77</v>
      </c>
      <c r="I23" s="8"/>
    </row>
    <row r="24" spans="1:17" ht="13.5" customHeight="1">
      <c r="A24" s="9" t="s">
        <v>21</v>
      </c>
      <c r="B24" s="42">
        <v>2297</v>
      </c>
      <c r="C24" s="42">
        <v>264</v>
      </c>
      <c r="D24" s="42">
        <v>556</v>
      </c>
      <c r="E24" s="42">
        <v>783</v>
      </c>
      <c r="F24" s="42">
        <v>551</v>
      </c>
      <c r="G24" s="42">
        <v>110</v>
      </c>
      <c r="H24" s="42">
        <v>33</v>
      </c>
      <c r="I24" s="8"/>
    </row>
    <row r="25" spans="1:17" ht="13.5" customHeight="1">
      <c r="A25" s="9" t="s">
        <v>131</v>
      </c>
      <c r="B25" s="42">
        <v>3447</v>
      </c>
      <c r="C25" s="42">
        <v>371</v>
      </c>
      <c r="D25" s="42">
        <v>905</v>
      </c>
      <c r="E25" s="42">
        <v>1243</v>
      </c>
      <c r="F25" s="42">
        <v>795</v>
      </c>
      <c r="G25" s="42">
        <v>123</v>
      </c>
      <c r="H25" s="42">
        <v>10</v>
      </c>
      <c r="I25" s="8"/>
      <c r="J25" s="8"/>
      <c r="K25" s="8"/>
      <c r="L25" s="8"/>
      <c r="M25" s="8"/>
      <c r="N25" s="8"/>
      <c r="O25" s="8"/>
      <c r="P25" s="8"/>
      <c r="Q25" s="8"/>
    </row>
    <row r="26" spans="1:17" ht="13.5" customHeight="1">
      <c r="A26" s="9" t="s">
        <v>190</v>
      </c>
      <c r="B26" s="42">
        <v>2529</v>
      </c>
      <c r="C26" s="42">
        <v>409</v>
      </c>
      <c r="D26" s="42">
        <v>708</v>
      </c>
      <c r="E26" s="42">
        <v>800</v>
      </c>
      <c r="F26" s="42">
        <v>474</v>
      </c>
      <c r="G26" s="42">
        <v>114</v>
      </c>
      <c r="H26" s="42">
        <v>24</v>
      </c>
      <c r="I26" s="8"/>
    </row>
    <row r="27" spans="1:17" ht="13.5" customHeight="1">
      <c r="A27" s="106" t="s">
        <v>40</v>
      </c>
      <c r="B27" s="105"/>
      <c r="C27" s="105"/>
      <c r="D27" s="105"/>
      <c r="E27" s="105"/>
      <c r="F27" s="105"/>
      <c r="G27" s="105"/>
      <c r="H27" s="105"/>
    </row>
    <row r="28" spans="1:17" ht="13.5" customHeight="1">
      <c r="A28" s="9" t="s">
        <v>23</v>
      </c>
      <c r="B28" s="42">
        <v>157</v>
      </c>
      <c r="C28" s="42">
        <v>64</v>
      </c>
      <c r="D28" s="42">
        <v>21</v>
      </c>
      <c r="E28" s="42">
        <v>31</v>
      </c>
      <c r="F28" s="42">
        <v>21</v>
      </c>
      <c r="G28" s="42">
        <v>11</v>
      </c>
      <c r="H28" s="42">
        <v>9</v>
      </c>
    </row>
    <row r="29" spans="1:17" ht="13.5" customHeight="1">
      <c r="A29" s="9" t="s">
        <v>24</v>
      </c>
      <c r="B29" s="42">
        <v>1977</v>
      </c>
      <c r="C29" s="42">
        <v>277</v>
      </c>
      <c r="D29" s="42">
        <v>147</v>
      </c>
      <c r="E29" s="42">
        <v>307</v>
      </c>
      <c r="F29" s="42">
        <v>459</v>
      </c>
      <c r="G29" s="42">
        <v>465</v>
      </c>
      <c r="H29" s="42">
        <v>322</v>
      </c>
    </row>
    <row r="30" spans="1:17" ht="13.5" customHeight="1">
      <c r="A30" s="9" t="s">
        <v>25</v>
      </c>
      <c r="B30" s="42">
        <v>5111</v>
      </c>
      <c r="C30" s="42">
        <v>416</v>
      </c>
      <c r="D30" s="42">
        <v>750</v>
      </c>
      <c r="E30" s="42">
        <v>1259</v>
      </c>
      <c r="F30" s="42">
        <v>1224</v>
      </c>
      <c r="G30" s="42">
        <v>736</v>
      </c>
      <c r="H30" s="42">
        <v>726</v>
      </c>
    </row>
    <row r="31" spans="1:17" ht="13.5" customHeight="1">
      <c r="A31" s="9" t="s">
        <v>26</v>
      </c>
      <c r="B31" s="42">
        <v>11541</v>
      </c>
      <c r="C31" s="42">
        <v>1329</v>
      </c>
      <c r="D31" s="42">
        <v>3152</v>
      </c>
      <c r="E31" s="42">
        <v>4203</v>
      </c>
      <c r="F31" s="42">
        <v>1872</v>
      </c>
      <c r="G31" s="42">
        <v>652</v>
      </c>
      <c r="H31" s="42">
        <v>333</v>
      </c>
    </row>
    <row r="32" spans="1:17" ht="13.5" customHeight="1">
      <c r="A32" s="9" t="s">
        <v>27</v>
      </c>
      <c r="B32" s="42">
        <v>20044</v>
      </c>
      <c r="C32" s="42">
        <v>2682</v>
      </c>
      <c r="D32" s="42">
        <v>6094</v>
      </c>
      <c r="E32" s="42">
        <v>6826</v>
      </c>
      <c r="F32" s="42">
        <v>3132</v>
      </c>
      <c r="G32" s="42">
        <v>967</v>
      </c>
      <c r="H32" s="42">
        <v>343</v>
      </c>
    </row>
    <row r="33" spans="1:8" ht="13.5" customHeight="1">
      <c r="A33" s="9" t="s">
        <v>28</v>
      </c>
      <c r="B33" s="42">
        <v>17270</v>
      </c>
      <c r="C33" s="42">
        <v>3137</v>
      </c>
      <c r="D33" s="42">
        <v>5035</v>
      </c>
      <c r="E33" s="42">
        <v>5513</v>
      </c>
      <c r="F33" s="42">
        <v>2558</v>
      </c>
      <c r="G33" s="42">
        <v>690</v>
      </c>
      <c r="H33" s="42">
        <v>337</v>
      </c>
    </row>
    <row r="34" spans="1:8" ht="13.5" customHeight="1">
      <c r="A34" s="9" t="s">
        <v>29</v>
      </c>
      <c r="B34" s="42">
        <v>12716</v>
      </c>
      <c r="C34" s="42">
        <v>2322</v>
      </c>
      <c r="D34" s="42">
        <v>3571</v>
      </c>
      <c r="E34" s="42">
        <v>3887</v>
      </c>
      <c r="F34" s="42">
        <v>2030</v>
      </c>
      <c r="G34" s="42">
        <v>662</v>
      </c>
      <c r="H34" s="42">
        <v>244</v>
      </c>
    </row>
    <row r="35" spans="1:8" ht="13.5" customHeight="1">
      <c r="A35" s="9" t="s">
        <v>30</v>
      </c>
      <c r="B35" s="42">
        <v>13505</v>
      </c>
      <c r="C35" s="42">
        <v>2415</v>
      </c>
      <c r="D35" s="42">
        <v>3606</v>
      </c>
      <c r="E35" s="42">
        <v>4390</v>
      </c>
      <c r="F35" s="42">
        <v>2193</v>
      </c>
      <c r="G35" s="42">
        <v>635</v>
      </c>
      <c r="H35" s="42">
        <v>266</v>
      </c>
    </row>
    <row r="36" spans="1:8" ht="13.5" customHeight="1">
      <c r="A36" s="106" t="s">
        <v>41</v>
      </c>
      <c r="B36" s="105"/>
      <c r="C36" s="105"/>
      <c r="D36" s="105"/>
      <c r="E36" s="105"/>
      <c r="F36" s="105"/>
      <c r="G36" s="105"/>
      <c r="H36" s="105"/>
    </row>
    <row r="37" spans="1:8" ht="13.5" customHeight="1">
      <c r="A37" s="10" t="s">
        <v>97</v>
      </c>
      <c r="B37" s="42">
        <v>11905</v>
      </c>
      <c r="C37" s="42">
        <v>10707</v>
      </c>
      <c r="D37" s="42">
        <v>1184</v>
      </c>
      <c r="E37" s="42">
        <v>13</v>
      </c>
      <c r="F37" s="42">
        <v>1</v>
      </c>
      <c r="G37" s="42">
        <v>0</v>
      </c>
      <c r="H37" s="42">
        <v>0</v>
      </c>
    </row>
    <row r="38" spans="1:8" ht="13.5" customHeight="1">
      <c r="A38" s="10" t="s">
        <v>59</v>
      </c>
      <c r="B38" s="42">
        <v>19689</v>
      </c>
      <c r="C38" s="42">
        <v>1714</v>
      </c>
      <c r="D38" s="42">
        <v>15896</v>
      </c>
      <c r="E38" s="42">
        <v>2049</v>
      </c>
      <c r="F38" s="42">
        <v>28</v>
      </c>
      <c r="G38" s="42">
        <v>2</v>
      </c>
      <c r="H38" s="42">
        <v>0</v>
      </c>
    </row>
    <row r="39" spans="1:8" ht="13.5" customHeight="1">
      <c r="A39" s="10" t="s">
        <v>60</v>
      </c>
      <c r="B39" s="42">
        <v>23674</v>
      </c>
      <c r="C39" s="42">
        <v>131</v>
      </c>
      <c r="D39" s="42">
        <v>4905</v>
      </c>
      <c r="E39" s="42">
        <v>17094</v>
      </c>
      <c r="F39" s="42">
        <v>1494</v>
      </c>
      <c r="G39" s="42">
        <v>48</v>
      </c>
      <c r="H39" s="42">
        <v>2</v>
      </c>
    </row>
    <row r="40" spans="1:8" ht="13.5" customHeight="1">
      <c r="A40" s="10" t="s">
        <v>61</v>
      </c>
      <c r="B40" s="42">
        <v>13579</v>
      </c>
      <c r="C40" s="42">
        <v>46</v>
      </c>
      <c r="D40" s="42">
        <v>313</v>
      </c>
      <c r="E40" s="42">
        <v>6364</v>
      </c>
      <c r="F40" s="42">
        <v>6421</v>
      </c>
      <c r="G40" s="42">
        <v>415</v>
      </c>
      <c r="H40" s="42">
        <v>20</v>
      </c>
    </row>
    <row r="41" spans="1:8" ht="13.5" customHeight="1">
      <c r="A41" s="10" t="s">
        <v>62</v>
      </c>
      <c r="B41" s="42">
        <v>6772</v>
      </c>
      <c r="C41" s="42">
        <v>17</v>
      </c>
      <c r="D41" s="42">
        <v>57</v>
      </c>
      <c r="E41" s="42">
        <v>676</v>
      </c>
      <c r="F41" s="42">
        <v>4225</v>
      </c>
      <c r="G41" s="42">
        <v>1668</v>
      </c>
      <c r="H41" s="42">
        <v>129</v>
      </c>
    </row>
    <row r="42" spans="1:8" ht="13.5" customHeight="1">
      <c r="A42" s="10" t="s">
        <v>63</v>
      </c>
      <c r="B42" s="42">
        <v>4417</v>
      </c>
      <c r="C42" s="42">
        <v>18</v>
      </c>
      <c r="D42" s="42">
        <v>17</v>
      </c>
      <c r="E42" s="42">
        <v>194</v>
      </c>
      <c r="F42" s="42">
        <v>1157</v>
      </c>
      <c r="G42" s="42">
        <v>2117</v>
      </c>
      <c r="H42" s="42">
        <v>914</v>
      </c>
    </row>
    <row r="43" spans="1:8" ht="13.5" customHeight="1">
      <c r="A43" s="10" t="s">
        <v>96</v>
      </c>
      <c r="B43" s="42">
        <v>2285</v>
      </c>
      <c r="C43" s="42">
        <v>9</v>
      </c>
      <c r="D43" s="42">
        <v>4</v>
      </c>
      <c r="E43" s="42">
        <v>26</v>
      </c>
      <c r="F43" s="42">
        <v>163</v>
      </c>
      <c r="G43" s="42">
        <v>568</v>
      </c>
      <c r="H43" s="42">
        <v>1515</v>
      </c>
    </row>
    <row r="44" spans="1:8" ht="13.5" customHeight="1">
      <c r="A44" s="10"/>
      <c r="B44" s="42"/>
      <c r="C44" s="42"/>
      <c r="D44" s="42"/>
      <c r="E44" s="42"/>
      <c r="F44" s="42"/>
      <c r="G44" s="42"/>
      <c r="H44" s="42"/>
    </row>
    <row r="45" spans="1:8" ht="13.5" customHeight="1">
      <c r="A45" s="9" t="s">
        <v>84</v>
      </c>
      <c r="B45" s="161"/>
      <c r="C45" s="161"/>
      <c r="D45" s="161"/>
      <c r="E45" s="161"/>
      <c r="F45" s="161"/>
      <c r="G45" s="161"/>
      <c r="H45" s="161"/>
    </row>
    <row r="46" spans="1:8" ht="13.5" customHeight="1">
      <c r="A46" s="9"/>
      <c r="B46" s="161"/>
      <c r="C46" s="161"/>
      <c r="D46" s="161"/>
      <c r="E46" s="161"/>
      <c r="F46" s="161"/>
      <c r="G46" s="161"/>
      <c r="H46" s="161"/>
    </row>
    <row r="47" spans="1:8" ht="13.5" customHeight="1">
      <c r="A47" s="46" t="s">
        <v>113</v>
      </c>
      <c r="B47" s="161"/>
      <c r="C47" s="161"/>
      <c r="D47" s="161"/>
      <c r="E47" s="161"/>
      <c r="F47" s="161"/>
      <c r="G47" s="161"/>
      <c r="H47" s="161"/>
    </row>
    <row r="48" spans="1:8" ht="13.5" customHeight="1">
      <c r="A48" s="46"/>
      <c r="B48" s="161"/>
      <c r="C48" s="161"/>
      <c r="D48" s="161"/>
      <c r="E48" s="161"/>
      <c r="F48" s="161"/>
      <c r="G48" s="161"/>
      <c r="H48" s="161"/>
    </row>
    <row r="49" spans="1:10" ht="13.5" customHeight="1">
      <c r="A49" s="46"/>
      <c r="B49" s="161"/>
      <c r="C49" s="161"/>
      <c r="D49" s="161"/>
      <c r="E49" s="161"/>
      <c r="F49" s="161"/>
      <c r="G49" s="161"/>
      <c r="H49" s="161"/>
    </row>
    <row r="50" spans="1:10" ht="13.5" customHeight="1">
      <c r="A50" s="90" t="s">
        <v>186</v>
      </c>
      <c r="B50" s="161"/>
      <c r="C50" s="161"/>
      <c r="D50" s="161"/>
      <c r="E50" s="161"/>
      <c r="F50" s="161"/>
      <c r="G50" s="161"/>
      <c r="H50" s="161"/>
    </row>
    <row r="51" spans="1:10" ht="13.5" customHeight="1">
      <c r="A51" s="41" t="s">
        <v>1</v>
      </c>
      <c r="B51" s="161"/>
      <c r="C51" s="161"/>
      <c r="D51" s="161"/>
      <c r="E51" s="161"/>
      <c r="F51" s="161"/>
      <c r="G51" s="161"/>
      <c r="H51" s="161"/>
    </row>
    <row r="52" spans="1:10" ht="13.5" customHeight="1">
      <c r="A52" s="161"/>
    </row>
    <row r="53" spans="1:10" ht="13.5" customHeight="1">
      <c r="A53" s="101"/>
      <c r="B53" s="101"/>
      <c r="C53" s="103"/>
      <c r="D53" s="103"/>
      <c r="E53" s="103"/>
      <c r="F53" s="103"/>
      <c r="G53" s="103"/>
      <c r="H53" s="104" t="s">
        <v>42</v>
      </c>
      <c r="J53" s="170" t="s">
        <v>126</v>
      </c>
    </row>
    <row r="54" spans="1:10" ht="13.5" customHeight="1">
      <c r="A54" s="102"/>
      <c r="B54" s="100" t="s">
        <v>2</v>
      </c>
      <c r="C54" s="100">
        <v>1</v>
      </c>
      <c r="D54" s="100">
        <v>2</v>
      </c>
      <c r="E54" s="100">
        <v>3</v>
      </c>
      <c r="F54" s="100">
        <v>4</v>
      </c>
      <c r="G54" s="100">
        <v>5</v>
      </c>
      <c r="H54" s="100" t="s">
        <v>66</v>
      </c>
    </row>
    <row r="55" spans="1:10" ht="13.5" customHeight="1">
      <c r="A55" s="37" t="s">
        <v>2</v>
      </c>
      <c r="B55" s="36">
        <v>81645</v>
      </c>
      <c r="C55" s="36">
        <v>12473</v>
      </c>
      <c r="D55" s="36">
        <v>22140</v>
      </c>
      <c r="E55" s="36">
        <v>26233</v>
      </c>
      <c r="F55" s="36">
        <v>13419</v>
      </c>
      <c r="G55" s="36">
        <v>4793</v>
      </c>
      <c r="H55" s="36">
        <v>2587</v>
      </c>
    </row>
    <row r="56" spans="1:10" ht="13.5" customHeight="1">
      <c r="A56" s="37" t="s">
        <v>5</v>
      </c>
      <c r="B56" s="105"/>
      <c r="C56" s="105"/>
      <c r="D56" s="105"/>
      <c r="E56" s="105"/>
      <c r="F56" s="105"/>
      <c r="G56" s="105"/>
      <c r="H56" s="105"/>
    </row>
    <row r="57" spans="1:10" ht="13.5" customHeight="1">
      <c r="A57" s="9" t="s">
        <v>6</v>
      </c>
      <c r="B57" s="42">
        <v>2191</v>
      </c>
      <c r="C57" s="42">
        <v>13</v>
      </c>
      <c r="D57" s="42">
        <v>40</v>
      </c>
      <c r="E57" s="42">
        <v>158</v>
      </c>
      <c r="F57" s="42">
        <v>427</v>
      </c>
      <c r="G57" s="42">
        <v>728</v>
      </c>
      <c r="H57" s="42">
        <v>825</v>
      </c>
      <c r="I57" s="8"/>
    </row>
    <row r="58" spans="1:10" ht="13.5" customHeight="1">
      <c r="A58" s="9" t="s">
        <v>7</v>
      </c>
      <c r="B58" s="42">
        <v>48489</v>
      </c>
      <c r="C58" s="42">
        <v>6373</v>
      </c>
      <c r="D58" s="42">
        <v>13624</v>
      </c>
      <c r="E58" s="42">
        <v>16341</v>
      </c>
      <c r="F58" s="42">
        <v>8426</v>
      </c>
      <c r="G58" s="42">
        <v>2643</v>
      </c>
      <c r="H58" s="42">
        <v>1082</v>
      </c>
      <c r="I58" s="8"/>
    </row>
    <row r="59" spans="1:10" ht="13.5" customHeight="1">
      <c r="A59" s="10" t="s">
        <v>8</v>
      </c>
      <c r="B59" s="42">
        <v>30242</v>
      </c>
      <c r="C59" s="42">
        <v>5796</v>
      </c>
      <c r="D59" s="42">
        <v>8385</v>
      </c>
      <c r="E59" s="42">
        <v>9602</v>
      </c>
      <c r="F59" s="42">
        <v>4438</v>
      </c>
      <c r="G59" s="42">
        <v>1374</v>
      </c>
      <c r="H59" s="42">
        <v>647</v>
      </c>
      <c r="I59" s="8"/>
    </row>
    <row r="60" spans="1:10" ht="13.5" customHeight="1">
      <c r="A60" s="10" t="s">
        <v>65</v>
      </c>
      <c r="B60" s="42">
        <v>723</v>
      </c>
      <c r="C60" s="42">
        <v>291</v>
      </c>
      <c r="D60" s="42">
        <v>91</v>
      </c>
      <c r="E60" s="42">
        <v>132</v>
      </c>
      <c r="F60" s="42">
        <v>128</v>
      </c>
      <c r="G60" s="42">
        <v>48</v>
      </c>
      <c r="H60" s="42">
        <v>33</v>
      </c>
      <c r="I60" s="8"/>
    </row>
    <row r="61" spans="1:10" ht="13.5" customHeight="1">
      <c r="A61" s="106" t="s">
        <v>39</v>
      </c>
      <c r="B61" s="105"/>
      <c r="C61" s="105"/>
      <c r="D61" s="105"/>
      <c r="E61" s="105"/>
      <c r="F61" s="105"/>
      <c r="G61" s="105"/>
      <c r="H61" s="105"/>
    </row>
    <row r="62" spans="1:10" ht="13.5" customHeight="1">
      <c r="A62" s="9" t="s">
        <v>10</v>
      </c>
      <c r="B62" s="42">
        <v>12753</v>
      </c>
      <c r="C62" s="42">
        <v>1736</v>
      </c>
      <c r="D62" s="42">
        <v>2699</v>
      </c>
      <c r="E62" s="42">
        <v>3986</v>
      </c>
      <c r="F62" s="42">
        <v>2202</v>
      </c>
      <c r="G62" s="42">
        <v>1221</v>
      </c>
      <c r="H62" s="42">
        <v>909</v>
      </c>
      <c r="I62" s="8"/>
    </row>
    <row r="63" spans="1:10" ht="13.5" customHeight="1">
      <c r="A63" s="9" t="s">
        <v>11</v>
      </c>
      <c r="B63" s="42">
        <v>14771</v>
      </c>
      <c r="C63" s="42">
        <v>2160</v>
      </c>
      <c r="D63" s="42">
        <v>4922</v>
      </c>
      <c r="E63" s="42">
        <v>4729</v>
      </c>
      <c r="F63" s="42">
        <v>1655</v>
      </c>
      <c r="G63" s="42">
        <v>780</v>
      </c>
      <c r="H63" s="42">
        <v>525</v>
      </c>
      <c r="I63" s="8"/>
    </row>
    <row r="64" spans="1:10" ht="13.5" customHeight="1">
      <c r="A64" s="9" t="s">
        <v>12</v>
      </c>
      <c r="B64" s="42">
        <v>17827</v>
      </c>
      <c r="C64" s="42">
        <v>2668</v>
      </c>
      <c r="D64" s="42">
        <v>6693</v>
      </c>
      <c r="E64" s="42">
        <v>5846</v>
      </c>
      <c r="F64" s="42">
        <v>1750</v>
      </c>
      <c r="G64" s="42">
        <v>563</v>
      </c>
      <c r="H64" s="42">
        <v>307</v>
      </c>
      <c r="I64" s="8"/>
    </row>
    <row r="65" spans="1:12" ht="13.5" customHeight="1">
      <c r="A65" s="9" t="s">
        <v>13</v>
      </c>
      <c r="B65" s="42">
        <v>13952</v>
      </c>
      <c r="C65" s="42">
        <v>3220</v>
      </c>
      <c r="D65" s="42">
        <v>3322</v>
      </c>
      <c r="E65" s="42">
        <v>4641</v>
      </c>
      <c r="F65" s="42">
        <v>1891</v>
      </c>
      <c r="G65" s="42">
        <v>519</v>
      </c>
      <c r="H65" s="42">
        <v>359</v>
      </c>
      <c r="I65" s="8"/>
    </row>
    <row r="66" spans="1:12" ht="13.5" customHeight="1">
      <c r="A66" s="9" t="s">
        <v>14</v>
      </c>
      <c r="B66" s="42">
        <v>5857</v>
      </c>
      <c r="C66" s="42">
        <v>1184</v>
      </c>
      <c r="D66" s="42">
        <v>1086</v>
      </c>
      <c r="E66" s="42">
        <v>1840</v>
      </c>
      <c r="F66" s="42">
        <v>1237</v>
      </c>
      <c r="G66" s="42">
        <v>403</v>
      </c>
      <c r="H66" s="42">
        <v>107</v>
      </c>
      <c r="I66" s="8"/>
    </row>
    <row r="67" spans="1:12" ht="13.5" customHeight="1">
      <c r="A67" s="9" t="s">
        <v>15</v>
      </c>
      <c r="B67" s="42">
        <v>1834</v>
      </c>
      <c r="C67" s="42">
        <v>70</v>
      </c>
      <c r="D67" s="42">
        <v>300</v>
      </c>
      <c r="E67" s="42">
        <v>523</v>
      </c>
      <c r="F67" s="42">
        <v>659</v>
      </c>
      <c r="G67" s="42">
        <v>213</v>
      </c>
      <c r="H67" s="42">
        <v>69</v>
      </c>
      <c r="I67" s="8"/>
    </row>
    <row r="68" spans="1:12" ht="13.5" customHeight="1">
      <c r="A68" s="9" t="s">
        <v>16</v>
      </c>
      <c r="B68" s="42">
        <v>1767</v>
      </c>
      <c r="C68" s="42">
        <v>122</v>
      </c>
      <c r="D68" s="42">
        <v>370</v>
      </c>
      <c r="E68" s="42">
        <v>532</v>
      </c>
      <c r="F68" s="42">
        <v>512</v>
      </c>
      <c r="G68" s="42">
        <v>185</v>
      </c>
      <c r="H68" s="42">
        <v>46</v>
      </c>
      <c r="I68" s="8"/>
    </row>
    <row r="69" spans="1:12" ht="13.5" customHeight="1">
      <c r="A69" s="9" t="s">
        <v>17</v>
      </c>
      <c r="B69" s="42">
        <v>1011</v>
      </c>
      <c r="C69" s="42">
        <v>193</v>
      </c>
      <c r="D69" s="42">
        <v>224</v>
      </c>
      <c r="E69" s="42">
        <v>301</v>
      </c>
      <c r="F69" s="42">
        <v>166</v>
      </c>
      <c r="G69" s="42">
        <v>104</v>
      </c>
      <c r="H69" s="42">
        <v>23</v>
      </c>
      <c r="I69" s="8"/>
    </row>
    <row r="70" spans="1:12" ht="13.5" customHeight="1">
      <c r="A70" s="9" t="s">
        <v>18</v>
      </c>
      <c r="B70" s="42">
        <v>995</v>
      </c>
      <c r="C70" s="42">
        <v>28</v>
      </c>
      <c r="D70" s="42">
        <v>128</v>
      </c>
      <c r="E70" s="42">
        <v>361</v>
      </c>
      <c r="F70" s="42">
        <v>317</v>
      </c>
      <c r="G70" s="42">
        <v>111</v>
      </c>
      <c r="H70" s="42">
        <v>50</v>
      </c>
      <c r="I70" s="8"/>
    </row>
    <row r="71" spans="1:12" ht="13.5" customHeight="1">
      <c r="A71" s="9" t="s">
        <v>19</v>
      </c>
      <c r="B71" s="42">
        <v>1001</v>
      </c>
      <c r="C71" s="42">
        <v>37</v>
      </c>
      <c r="D71" s="42">
        <v>86</v>
      </c>
      <c r="E71" s="42">
        <v>227</v>
      </c>
      <c r="F71" s="42">
        <v>436</v>
      </c>
      <c r="G71" s="42">
        <v>166</v>
      </c>
      <c r="H71" s="42">
        <v>49</v>
      </c>
      <c r="I71" s="8"/>
    </row>
    <row r="72" spans="1:12" ht="13.5" customHeight="1">
      <c r="A72" s="9" t="s">
        <v>20</v>
      </c>
      <c r="B72" s="42">
        <v>2222</v>
      </c>
      <c r="C72" s="42">
        <v>121</v>
      </c>
      <c r="D72" s="42">
        <v>349</v>
      </c>
      <c r="E72" s="42">
        <v>606</v>
      </c>
      <c r="F72" s="42">
        <v>856</v>
      </c>
      <c r="G72" s="42">
        <v>213</v>
      </c>
      <c r="H72" s="42">
        <v>77</v>
      </c>
      <c r="I72" s="8"/>
    </row>
    <row r="73" spans="1:12" ht="13.5" customHeight="1">
      <c r="A73" s="9" t="s">
        <v>21</v>
      </c>
      <c r="B73" s="42">
        <v>2297</v>
      </c>
      <c r="C73" s="42">
        <v>264</v>
      </c>
      <c r="D73" s="42">
        <v>556</v>
      </c>
      <c r="E73" s="42">
        <v>783</v>
      </c>
      <c r="F73" s="42">
        <v>551</v>
      </c>
      <c r="G73" s="42">
        <v>110</v>
      </c>
      <c r="H73" s="42">
        <v>33</v>
      </c>
      <c r="I73" s="8"/>
    </row>
    <row r="74" spans="1:12" ht="13.5" customHeight="1">
      <c r="A74" s="9" t="s">
        <v>131</v>
      </c>
      <c r="B74" s="42">
        <v>3447</v>
      </c>
      <c r="C74" s="42">
        <v>371</v>
      </c>
      <c r="D74" s="42">
        <v>905</v>
      </c>
      <c r="E74" s="42">
        <v>1243</v>
      </c>
      <c r="F74" s="42">
        <v>795</v>
      </c>
      <c r="G74" s="42">
        <v>123</v>
      </c>
      <c r="H74" s="42">
        <v>10</v>
      </c>
      <c r="I74" s="8"/>
      <c r="J74" s="8"/>
      <c r="K74" s="8"/>
      <c r="L74" s="8"/>
    </row>
    <row r="75" spans="1:12" ht="13.5" customHeight="1">
      <c r="A75" s="9" t="s">
        <v>190</v>
      </c>
      <c r="B75" s="42">
        <v>1911</v>
      </c>
      <c r="C75" s="42">
        <v>299</v>
      </c>
      <c r="D75" s="42">
        <v>500</v>
      </c>
      <c r="E75" s="42">
        <v>615</v>
      </c>
      <c r="F75" s="42">
        <v>392</v>
      </c>
      <c r="G75" s="42">
        <v>82</v>
      </c>
      <c r="H75" s="42">
        <v>23</v>
      </c>
      <c r="I75" s="8"/>
    </row>
    <row r="76" spans="1:12" ht="13.5" customHeight="1">
      <c r="A76" s="106" t="s">
        <v>40</v>
      </c>
      <c r="B76" s="105"/>
      <c r="C76" s="105"/>
      <c r="D76" s="105"/>
      <c r="E76" s="105"/>
      <c r="F76" s="105"/>
      <c r="G76" s="105"/>
      <c r="H76" s="105"/>
    </row>
    <row r="77" spans="1:12" ht="13.5" customHeight="1">
      <c r="A77" s="9" t="s">
        <v>23</v>
      </c>
      <c r="B77" s="42">
        <v>157</v>
      </c>
      <c r="C77" s="42">
        <v>64</v>
      </c>
      <c r="D77" s="42">
        <v>21</v>
      </c>
      <c r="E77" s="42">
        <v>31</v>
      </c>
      <c r="F77" s="42">
        <v>21</v>
      </c>
      <c r="G77" s="42">
        <v>11</v>
      </c>
      <c r="H77" s="42">
        <v>9</v>
      </c>
    </row>
    <row r="78" spans="1:12" ht="13.5" customHeight="1">
      <c r="A78" s="9" t="s">
        <v>24</v>
      </c>
      <c r="B78" s="42">
        <v>1962</v>
      </c>
      <c r="C78" s="42">
        <v>276</v>
      </c>
      <c r="D78" s="42">
        <v>146</v>
      </c>
      <c r="E78" s="42">
        <v>302</v>
      </c>
      <c r="F78" s="42">
        <v>448</v>
      </c>
      <c r="G78" s="42">
        <v>467</v>
      </c>
      <c r="H78" s="42">
        <v>323</v>
      </c>
    </row>
    <row r="79" spans="1:12" ht="13.5" customHeight="1">
      <c r="A79" s="9" t="s">
        <v>25</v>
      </c>
      <c r="B79" s="42">
        <v>5096</v>
      </c>
      <c r="C79" s="42">
        <v>414</v>
      </c>
      <c r="D79" s="42">
        <v>748</v>
      </c>
      <c r="E79" s="42">
        <v>1257</v>
      </c>
      <c r="F79" s="42">
        <v>1216</v>
      </c>
      <c r="G79" s="42">
        <v>732</v>
      </c>
      <c r="H79" s="42">
        <v>729</v>
      </c>
    </row>
    <row r="80" spans="1:12" ht="13.5" customHeight="1">
      <c r="A80" s="9" t="s">
        <v>26</v>
      </c>
      <c r="B80" s="42">
        <v>11549</v>
      </c>
      <c r="C80" s="42">
        <v>1320</v>
      </c>
      <c r="D80" s="42">
        <v>3161</v>
      </c>
      <c r="E80" s="42">
        <v>4205</v>
      </c>
      <c r="F80" s="42">
        <v>1888</v>
      </c>
      <c r="G80" s="42">
        <v>642</v>
      </c>
      <c r="H80" s="42">
        <v>333</v>
      </c>
    </row>
    <row r="81" spans="1:8" ht="13.5" customHeight="1">
      <c r="A81" s="9" t="s">
        <v>27</v>
      </c>
      <c r="B81" s="42">
        <v>19972</v>
      </c>
      <c r="C81" s="42">
        <v>2658</v>
      </c>
      <c r="D81" s="42">
        <v>6058</v>
      </c>
      <c r="E81" s="42">
        <v>6813</v>
      </c>
      <c r="F81" s="42">
        <v>3120</v>
      </c>
      <c r="G81" s="42">
        <v>980</v>
      </c>
      <c r="H81" s="42">
        <v>343</v>
      </c>
    </row>
    <row r="82" spans="1:8" ht="13.5" customHeight="1">
      <c r="A82" s="9" t="s">
        <v>28</v>
      </c>
      <c r="B82" s="42">
        <v>16921</v>
      </c>
      <c r="C82" s="42">
        <v>3025</v>
      </c>
      <c r="D82" s="42">
        <v>4931</v>
      </c>
      <c r="E82" s="42">
        <v>5412</v>
      </c>
      <c r="F82" s="42">
        <v>2526</v>
      </c>
      <c r="G82" s="42">
        <v>685</v>
      </c>
      <c r="H82" s="42">
        <v>342</v>
      </c>
    </row>
    <row r="83" spans="1:8" ht="13.5" customHeight="1">
      <c r="A83" s="9" t="s">
        <v>29</v>
      </c>
      <c r="B83" s="42">
        <v>12544</v>
      </c>
      <c r="C83" s="42">
        <v>2293</v>
      </c>
      <c r="D83" s="42">
        <v>3503</v>
      </c>
      <c r="E83" s="42">
        <v>3826</v>
      </c>
      <c r="F83" s="42">
        <v>2027</v>
      </c>
      <c r="G83" s="42">
        <v>653</v>
      </c>
      <c r="H83" s="42">
        <v>242</v>
      </c>
    </row>
    <row r="84" spans="1:8" ht="13.5" customHeight="1">
      <c r="A84" s="9" t="s">
        <v>30</v>
      </c>
      <c r="B84" s="42">
        <v>13444</v>
      </c>
      <c r="C84" s="42">
        <v>2423</v>
      </c>
      <c r="D84" s="42">
        <v>3572</v>
      </c>
      <c r="E84" s="42">
        <v>4387</v>
      </c>
      <c r="F84" s="42">
        <v>2173</v>
      </c>
      <c r="G84" s="42">
        <v>623</v>
      </c>
      <c r="H84" s="42">
        <v>266</v>
      </c>
    </row>
    <row r="85" spans="1:8" ht="13.5" customHeight="1">
      <c r="A85" s="106" t="s">
        <v>41</v>
      </c>
      <c r="B85" s="105"/>
      <c r="C85" s="105"/>
      <c r="D85" s="105"/>
      <c r="E85" s="105"/>
      <c r="F85" s="105"/>
      <c r="G85" s="105"/>
      <c r="H85" s="105"/>
    </row>
    <row r="86" spans="1:8" ht="13.5" customHeight="1">
      <c r="A86" s="10" t="s">
        <v>97</v>
      </c>
      <c r="B86" s="42">
        <v>11791</v>
      </c>
      <c r="C86" s="42">
        <v>10594</v>
      </c>
      <c r="D86" s="42">
        <v>1180</v>
      </c>
      <c r="E86" s="42">
        <v>16</v>
      </c>
      <c r="F86" s="42"/>
      <c r="G86" s="42">
        <v>1</v>
      </c>
      <c r="H86" s="42">
        <v>0</v>
      </c>
    </row>
    <row r="87" spans="1:8" ht="13.5" customHeight="1">
      <c r="A87" s="10" t="s">
        <v>59</v>
      </c>
      <c r="B87" s="42">
        <v>19488</v>
      </c>
      <c r="C87" s="42">
        <v>1663</v>
      </c>
      <c r="D87" s="42">
        <v>15727</v>
      </c>
      <c r="E87" s="42">
        <v>2069</v>
      </c>
      <c r="F87" s="42">
        <v>28</v>
      </c>
      <c r="G87" s="42">
        <v>1</v>
      </c>
      <c r="H87" s="42">
        <v>0</v>
      </c>
    </row>
    <row r="88" spans="1:8" ht="13.5" customHeight="1">
      <c r="A88" s="10" t="s">
        <v>60</v>
      </c>
      <c r="B88" s="42">
        <v>23481</v>
      </c>
      <c r="C88" s="42">
        <v>130</v>
      </c>
      <c r="D88" s="42">
        <v>4843</v>
      </c>
      <c r="E88" s="42">
        <v>16945</v>
      </c>
      <c r="F88" s="42">
        <v>1511</v>
      </c>
      <c r="G88" s="42">
        <v>49</v>
      </c>
      <c r="H88" s="42">
        <v>3</v>
      </c>
    </row>
    <row r="89" spans="1:8" ht="13.5" customHeight="1">
      <c r="A89" s="10" t="s">
        <v>61</v>
      </c>
      <c r="B89" s="42">
        <v>13482</v>
      </c>
      <c r="C89" s="42">
        <v>45</v>
      </c>
      <c r="D89" s="42">
        <v>312</v>
      </c>
      <c r="E89" s="42">
        <v>6311</v>
      </c>
      <c r="F89" s="42">
        <v>6378</v>
      </c>
      <c r="G89" s="42">
        <v>416</v>
      </c>
      <c r="H89" s="42">
        <v>20</v>
      </c>
    </row>
    <row r="90" spans="1:8" ht="13.5" customHeight="1">
      <c r="A90" s="10" t="s">
        <v>62</v>
      </c>
      <c r="B90" s="42">
        <v>6724</v>
      </c>
      <c r="C90" s="42">
        <v>20</v>
      </c>
      <c r="D90" s="42">
        <v>56</v>
      </c>
      <c r="E90" s="42">
        <v>676</v>
      </c>
      <c r="F90" s="42">
        <v>4190</v>
      </c>
      <c r="G90" s="42">
        <v>1650</v>
      </c>
      <c r="H90" s="42">
        <v>132</v>
      </c>
    </row>
    <row r="91" spans="1:8" ht="13.5" customHeight="1">
      <c r="A91" s="10" t="s">
        <v>63</v>
      </c>
      <c r="B91" s="42">
        <v>4403</v>
      </c>
      <c r="C91" s="42">
        <v>18</v>
      </c>
      <c r="D91" s="42">
        <v>17</v>
      </c>
      <c r="E91" s="42">
        <v>197</v>
      </c>
      <c r="F91" s="42">
        <v>1150</v>
      </c>
      <c r="G91" s="42">
        <v>2106</v>
      </c>
      <c r="H91" s="42">
        <v>915</v>
      </c>
    </row>
    <row r="92" spans="1:8" ht="13.5" customHeight="1">
      <c r="A92" s="10" t="s">
        <v>96</v>
      </c>
      <c r="B92" s="42">
        <v>2276</v>
      </c>
      <c r="C92" s="42">
        <v>3</v>
      </c>
      <c r="D92" s="42">
        <v>5</v>
      </c>
      <c r="E92" s="42">
        <v>19</v>
      </c>
      <c r="F92" s="42">
        <v>162</v>
      </c>
      <c r="G92" s="42">
        <v>570</v>
      </c>
      <c r="H92" s="42">
        <v>1517</v>
      </c>
    </row>
    <row r="93" spans="1:8" ht="13.5" customHeight="1">
      <c r="A93" s="10"/>
      <c r="B93" s="42"/>
      <c r="C93" s="42"/>
      <c r="D93" s="42"/>
      <c r="E93" s="42"/>
      <c r="F93" s="42"/>
      <c r="G93" s="42"/>
      <c r="H93" s="42"/>
    </row>
    <row r="94" spans="1:8" ht="13.5" customHeight="1">
      <c r="A94" s="9" t="s">
        <v>84</v>
      </c>
      <c r="B94" s="161"/>
      <c r="C94" s="161"/>
      <c r="D94" s="161"/>
      <c r="E94" s="161"/>
      <c r="F94" s="161"/>
      <c r="G94" s="161"/>
      <c r="H94" s="161"/>
    </row>
    <row r="95" spans="1:8" ht="13.5" customHeight="1">
      <c r="A95" s="9"/>
      <c r="B95" s="161"/>
      <c r="C95" s="161"/>
      <c r="D95" s="161"/>
      <c r="E95" s="161"/>
      <c r="F95" s="161"/>
      <c r="G95" s="161"/>
      <c r="H95" s="161"/>
    </row>
    <row r="96" spans="1:8" ht="13.5" customHeight="1">
      <c r="A96" s="46" t="s">
        <v>113</v>
      </c>
      <c r="B96" s="161"/>
      <c r="C96" s="161"/>
      <c r="D96" s="161"/>
      <c r="E96" s="161"/>
      <c r="F96" s="161"/>
      <c r="G96" s="161"/>
      <c r="H96" s="161"/>
    </row>
    <row r="97" spans="1:10" ht="13.5" customHeight="1">
      <c r="A97" s="46"/>
      <c r="B97" s="161"/>
      <c r="C97" s="161"/>
      <c r="D97" s="161"/>
      <c r="E97" s="161"/>
      <c r="F97" s="161"/>
      <c r="G97" s="161"/>
      <c r="H97" s="161"/>
    </row>
    <row r="98" spans="1:10" ht="13.5" customHeight="1">
      <c r="A98" s="46"/>
      <c r="B98" s="161"/>
      <c r="C98" s="161"/>
      <c r="D98" s="161"/>
      <c r="E98" s="161"/>
      <c r="F98" s="161"/>
      <c r="G98" s="161"/>
      <c r="H98" s="161"/>
    </row>
    <row r="99" spans="1:10" ht="13.5" customHeight="1">
      <c r="A99" s="90" t="s">
        <v>182</v>
      </c>
      <c r="B99" s="161"/>
      <c r="C99" s="161"/>
      <c r="D99" s="161"/>
      <c r="E99" s="161"/>
      <c r="F99" s="161"/>
      <c r="G99" s="161"/>
      <c r="H99" s="161"/>
    </row>
    <row r="100" spans="1:10" ht="13.5" customHeight="1">
      <c r="A100" s="41" t="s">
        <v>1</v>
      </c>
      <c r="B100" s="161"/>
      <c r="C100" s="161"/>
      <c r="D100" s="161"/>
      <c r="E100" s="161"/>
      <c r="F100" s="161"/>
      <c r="G100" s="161"/>
      <c r="H100" s="161"/>
    </row>
    <row r="101" spans="1:10" ht="13.5" customHeight="1">
      <c r="A101" s="161"/>
    </row>
    <row r="102" spans="1:10" ht="13.5" customHeight="1">
      <c r="A102" s="101"/>
      <c r="B102" s="101"/>
      <c r="C102" s="103"/>
      <c r="D102" s="103"/>
      <c r="E102" s="103"/>
      <c r="F102" s="103"/>
      <c r="G102" s="103"/>
      <c r="H102" s="104" t="s">
        <v>42</v>
      </c>
      <c r="J102" s="170" t="s">
        <v>126</v>
      </c>
    </row>
    <row r="103" spans="1:10" ht="13.5" customHeight="1">
      <c r="A103" s="102"/>
      <c r="B103" s="100" t="s">
        <v>2</v>
      </c>
      <c r="C103" s="100">
        <v>1</v>
      </c>
      <c r="D103" s="100">
        <v>2</v>
      </c>
      <c r="E103" s="100">
        <v>3</v>
      </c>
      <c r="F103" s="100">
        <v>4</v>
      </c>
      <c r="G103" s="100">
        <v>5</v>
      </c>
      <c r="H103" s="100" t="s">
        <v>66</v>
      </c>
    </row>
    <row r="104" spans="1:10" ht="13.5" customHeight="1">
      <c r="A104" s="37" t="s">
        <v>2</v>
      </c>
      <c r="B104" s="36">
        <v>80756</v>
      </c>
      <c r="C104" s="36">
        <v>12309</v>
      </c>
      <c r="D104" s="36">
        <v>21907</v>
      </c>
      <c r="E104" s="36">
        <v>25963</v>
      </c>
      <c r="F104" s="36">
        <v>13233</v>
      </c>
      <c r="G104" s="36">
        <v>4754</v>
      </c>
      <c r="H104" s="36">
        <v>2590</v>
      </c>
    </row>
    <row r="105" spans="1:10" ht="13.5" customHeight="1">
      <c r="A105" s="37" t="s">
        <v>5</v>
      </c>
      <c r="B105" s="105"/>
      <c r="C105" s="105"/>
      <c r="D105" s="105"/>
      <c r="E105" s="105"/>
      <c r="F105" s="105"/>
      <c r="G105" s="105"/>
      <c r="H105" s="105"/>
    </row>
    <row r="106" spans="1:10" ht="13.5" customHeight="1">
      <c r="A106" s="9" t="s">
        <v>6</v>
      </c>
      <c r="B106" s="42">
        <v>2194</v>
      </c>
      <c r="C106" s="42">
        <v>12</v>
      </c>
      <c r="D106" s="42">
        <v>43</v>
      </c>
      <c r="E106" s="42">
        <v>161</v>
      </c>
      <c r="F106" s="42">
        <v>427</v>
      </c>
      <c r="G106" s="42">
        <v>726</v>
      </c>
      <c r="H106" s="42">
        <v>825</v>
      </c>
    </row>
    <row r="107" spans="1:10" ht="13.5" customHeight="1">
      <c r="A107" s="9" t="s">
        <v>7</v>
      </c>
      <c r="B107" s="42">
        <v>47934</v>
      </c>
      <c r="C107" s="42">
        <v>6276</v>
      </c>
      <c r="D107" s="42">
        <v>13453</v>
      </c>
      <c r="E107" s="42">
        <v>16189</v>
      </c>
      <c r="F107" s="42">
        <v>8300</v>
      </c>
      <c r="G107" s="42">
        <v>2638</v>
      </c>
      <c r="H107" s="42">
        <v>1078</v>
      </c>
    </row>
    <row r="108" spans="1:10" ht="13.5" customHeight="1">
      <c r="A108" s="10" t="s">
        <v>8</v>
      </c>
      <c r="B108" s="42">
        <v>29903</v>
      </c>
      <c r="C108" s="42">
        <v>5732</v>
      </c>
      <c r="D108" s="42">
        <v>8323</v>
      </c>
      <c r="E108" s="42">
        <v>9478</v>
      </c>
      <c r="F108" s="42">
        <v>4380</v>
      </c>
      <c r="G108" s="42">
        <v>1336</v>
      </c>
      <c r="H108" s="42">
        <v>654</v>
      </c>
    </row>
    <row r="109" spans="1:10" ht="13.5" customHeight="1">
      <c r="A109" s="10" t="s">
        <v>65</v>
      </c>
      <c r="B109" s="42">
        <v>725</v>
      </c>
      <c r="C109" s="42">
        <v>289</v>
      </c>
      <c r="D109" s="42">
        <v>88</v>
      </c>
      <c r="E109" s="42">
        <v>135</v>
      </c>
      <c r="F109" s="42">
        <v>126</v>
      </c>
      <c r="G109" s="42">
        <v>54</v>
      </c>
      <c r="H109" s="42">
        <v>33</v>
      </c>
    </row>
    <row r="110" spans="1:10" ht="13.5" customHeight="1">
      <c r="A110" s="106" t="s">
        <v>39</v>
      </c>
      <c r="B110" s="105"/>
      <c r="C110" s="105"/>
      <c r="D110" s="105"/>
      <c r="E110" s="105"/>
      <c r="F110" s="105"/>
      <c r="G110" s="105"/>
      <c r="H110" s="105"/>
    </row>
    <row r="111" spans="1:10" ht="13.5" customHeight="1">
      <c r="A111" s="9" t="s">
        <v>10</v>
      </c>
      <c r="B111" s="42">
        <v>12734</v>
      </c>
      <c r="C111" s="42">
        <v>1732</v>
      </c>
      <c r="D111" s="42">
        <v>2695</v>
      </c>
      <c r="E111" s="42">
        <v>3966</v>
      </c>
      <c r="F111" s="42">
        <v>2205</v>
      </c>
      <c r="G111" s="42">
        <v>1222</v>
      </c>
      <c r="H111" s="42">
        <v>914</v>
      </c>
    </row>
    <row r="112" spans="1:10" ht="13.5" customHeight="1">
      <c r="A112" s="9" t="s">
        <v>11</v>
      </c>
      <c r="B112" s="42">
        <v>14746</v>
      </c>
      <c r="C112" s="42">
        <v>2131</v>
      </c>
      <c r="D112" s="42">
        <v>4926</v>
      </c>
      <c r="E112" s="42">
        <v>4729</v>
      </c>
      <c r="F112" s="42">
        <v>1653</v>
      </c>
      <c r="G112" s="42">
        <v>777</v>
      </c>
      <c r="H112" s="42">
        <v>530</v>
      </c>
    </row>
    <row r="113" spans="1:8" ht="13.5" customHeight="1">
      <c r="A113" s="9" t="s">
        <v>12</v>
      </c>
      <c r="B113" s="42">
        <v>17833</v>
      </c>
      <c r="C113" s="42">
        <v>2658</v>
      </c>
      <c r="D113" s="42">
        <v>6699</v>
      </c>
      <c r="E113" s="42">
        <v>5849</v>
      </c>
      <c r="F113" s="42">
        <v>1753</v>
      </c>
      <c r="G113" s="42">
        <v>565</v>
      </c>
      <c r="H113" s="42">
        <v>309</v>
      </c>
    </row>
    <row r="114" spans="1:8" ht="13.5" customHeight="1">
      <c r="A114" s="9" t="s">
        <v>13</v>
      </c>
      <c r="B114" s="42">
        <v>13938</v>
      </c>
      <c r="C114" s="42">
        <v>3202</v>
      </c>
      <c r="D114" s="42">
        <v>3316</v>
      </c>
      <c r="E114" s="42">
        <v>4644</v>
      </c>
      <c r="F114" s="42">
        <v>1894</v>
      </c>
      <c r="G114" s="42">
        <v>522</v>
      </c>
      <c r="H114" s="42">
        <v>360</v>
      </c>
    </row>
    <row r="115" spans="1:8" ht="13.5" customHeight="1">
      <c r="A115" s="9" t="s">
        <v>14</v>
      </c>
      <c r="B115" s="42">
        <v>5791</v>
      </c>
      <c r="C115" s="42">
        <v>1133</v>
      </c>
      <c r="D115" s="42">
        <v>1076</v>
      </c>
      <c r="E115" s="42">
        <v>1838</v>
      </c>
      <c r="F115" s="42">
        <v>1230</v>
      </c>
      <c r="G115" s="42">
        <v>405</v>
      </c>
      <c r="H115" s="42">
        <v>109</v>
      </c>
    </row>
    <row r="116" spans="1:8" ht="13.5" customHeight="1">
      <c r="A116" s="9" t="s">
        <v>15</v>
      </c>
      <c r="B116" s="42">
        <v>1829</v>
      </c>
      <c r="C116" s="42">
        <v>70</v>
      </c>
      <c r="D116" s="42">
        <v>298</v>
      </c>
      <c r="E116" s="42">
        <v>521</v>
      </c>
      <c r="F116" s="42">
        <v>659</v>
      </c>
      <c r="G116" s="42">
        <v>214</v>
      </c>
      <c r="H116" s="42">
        <v>67</v>
      </c>
    </row>
    <row r="117" spans="1:8" ht="13.5" customHeight="1">
      <c r="A117" s="9" t="s">
        <v>16</v>
      </c>
      <c r="B117" s="42">
        <v>1762</v>
      </c>
      <c r="C117" s="42">
        <v>122</v>
      </c>
      <c r="D117" s="42">
        <v>367</v>
      </c>
      <c r="E117" s="42">
        <v>531</v>
      </c>
      <c r="F117" s="42">
        <v>512</v>
      </c>
      <c r="G117" s="42">
        <v>184</v>
      </c>
      <c r="H117" s="42">
        <v>46</v>
      </c>
    </row>
    <row r="118" spans="1:8" ht="13.5" customHeight="1">
      <c r="A118" s="9" t="s">
        <v>17</v>
      </c>
      <c r="B118" s="42">
        <v>1017</v>
      </c>
      <c r="C118" s="42">
        <v>193</v>
      </c>
      <c r="D118" s="42">
        <v>225</v>
      </c>
      <c r="E118" s="42">
        <v>306</v>
      </c>
      <c r="F118" s="42">
        <v>166</v>
      </c>
      <c r="G118" s="42">
        <v>104</v>
      </c>
      <c r="H118" s="42">
        <v>23</v>
      </c>
    </row>
    <row r="119" spans="1:8" ht="13.5" customHeight="1">
      <c r="A119" s="9" t="s">
        <v>18</v>
      </c>
      <c r="B119" s="42">
        <v>995</v>
      </c>
      <c r="C119" s="42">
        <v>28</v>
      </c>
      <c r="D119" s="42">
        <v>128</v>
      </c>
      <c r="E119" s="42">
        <v>361</v>
      </c>
      <c r="F119" s="42">
        <v>317</v>
      </c>
      <c r="G119" s="42">
        <v>111</v>
      </c>
      <c r="H119" s="42">
        <v>50</v>
      </c>
    </row>
    <row r="120" spans="1:8" ht="13.5" customHeight="1">
      <c r="A120" s="9" t="s">
        <v>19</v>
      </c>
      <c r="B120" s="42">
        <v>1000</v>
      </c>
      <c r="C120" s="42">
        <v>36</v>
      </c>
      <c r="D120" s="42">
        <v>86</v>
      </c>
      <c r="E120" s="42">
        <v>228</v>
      </c>
      <c r="F120" s="42">
        <v>435</v>
      </c>
      <c r="G120" s="42">
        <v>167</v>
      </c>
      <c r="H120" s="42">
        <v>48</v>
      </c>
    </row>
    <row r="121" spans="1:8" ht="13.5" customHeight="1">
      <c r="A121" s="9" t="s">
        <v>20</v>
      </c>
      <c r="B121" s="42">
        <v>2222</v>
      </c>
      <c r="C121" s="42">
        <v>121</v>
      </c>
      <c r="D121" s="42">
        <v>349</v>
      </c>
      <c r="E121" s="42">
        <v>606</v>
      </c>
      <c r="F121" s="42">
        <v>856</v>
      </c>
      <c r="G121" s="42">
        <v>213</v>
      </c>
      <c r="H121" s="42">
        <v>77</v>
      </c>
    </row>
    <row r="122" spans="1:8" ht="13.5" customHeight="1">
      <c r="A122" s="9" t="s">
        <v>21</v>
      </c>
      <c r="B122" s="42">
        <v>2297</v>
      </c>
      <c r="C122" s="42">
        <v>264</v>
      </c>
      <c r="D122" s="42">
        <v>556</v>
      </c>
      <c r="E122" s="42">
        <v>783</v>
      </c>
      <c r="F122" s="42">
        <v>551</v>
      </c>
      <c r="G122" s="42">
        <v>110</v>
      </c>
      <c r="H122" s="42">
        <v>33</v>
      </c>
    </row>
    <row r="123" spans="1:8" ht="13.5" customHeight="1">
      <c r="A123" s="9" t="s">
        <v>112</v>
      </c>
      <c r="B123" s="42">
        <v>4592</v>
      </c>
      <c r="C123" s="42">
        <v>619</v>
      </c>
      <c r="D123" s="42">
        <v>1186</v>
      </c>
      <c r="E123" s="42">
        <v>1601</v>
      </c>
      <c r="F123" s="42">
        <v>1002</v>
      </c>
      <c r="G123" s="42">
        <v>160</v>
      </c>
      <c r="H123" s="42">
        <v>24</v>
      </c>
    </row>
    <row r="124" spans="1:8" ht="13.5" customHeight="1">
      <c r="A124" s="106" t="s">
        <v>40</v>
      </c>
      <c r="B124" s="105"/>
      <c r="C124" s="105"/>
      <c r="D124" s="105"/>
      <c r="E124" s="105"/>
      <c r="F124" s="105"/>
      <c r="G124" s="105"/>
      <c r="H124" s="105"/>
    </row>
    <row r="125" spans="1:8" ht="13.5" customHeight="1">
      <c r="A125" s="9" t="s">
        <v>23</v>
      </c>
      <c r="B125" s="12">
        <v>157</v>
      </c>
      <c r="C125" s="42">
        <v>63</v>
      </c>
      <c r="D125" s="42">
        <v>22</v>
      </c>
      <c r="E125" s="42">
        <v>30</v>
      </c>
      <c r="F125" s="42">
        <v>21</v>
      </c>
      <c r="G125" s="42">
        <v>12</v>
      </c>
      <c r="H125" s="42">
        <v>9</v>
      </c>
    </row>
    <row r="126" spans="1:8" ht="13.5" customHeight="1">
      <c r="A126" s="9" t="s">
        <v>24</v>
      </c>
      <c r="B126" s="12">
        <v>1972</v>
      </c>
      <c r="C126" s="42">
        <v>274</v>
      </c>
      <c r="D126" s="42">
        <v>151</v>
      </c>
      <c r="E126" s="42">
        <v>307</v>
      </c>
      <c r="F126" s="42">
        <v>449</v>
      </c>
      <c r="G126" s="42">
        <v>464</v>
      </c>
      <c r="H126" s="42">
        <v>327</v>
      </c>
    </row>
    <row r="127" spans="1:8" ht="13.5" customHeight="1">
      <c r="A127" s="9" t="s">
        <v>25</v>
      </c>
      <c r="B127" s="12">
        <v>5058</v>
      </c>
      <c r="C127" s="42">
        <v>414</v>
      </c>
      <c r="D127" s="42">
        <v>736</v>
      </c>
      <c r="E127" s="42">
        <v>1255</v>
      </c>
      <c r="F127" s="42">
        <v>1200</v>
      </c>
      <c r="G127" s="42">
        <v>722</v>
      </c>
      <c r="H127" s="42">
        <v>731</v>
      </c>
    </row>
    <row r="128" spans="1:8" ht="13.5" customHeight="1">
      <c r="A128" s="9" t="s">
        <v>26</v>
      </c>
      <c r="B128" s="12">
        <v>11526</v>
      </c>
      <c r="C128" s="42">
        <v>1329</v>
      </c>
      <c r="D128" s="42">
        <v>3125</v>
      </c>
      <c r="E128" s="42">
        <v>4193</v>
      </c>
      <c r="F128" s="42">
        <v>1899</v>
      </c>
      <c r="G128" s="42">
        <v>646</v>
      </c>
      <c r="H128" s="42">
        <v>334</v>
      </c>
    </row>
    <row r="129" spans="1:8" ht="13.5" customHeight="1">
      <c r="A129" s="9" t="s">
        <v>27</v>
      </c>
      <c r="B129" s="12">
        <v>19997</v>
      </c>
      <c r="C129" s="42">
        <v>2591</v>
      </c>
      <c r="D129" s="42">
        <v>6093</v>
      </c>
      <c r="E129" s="42">
        <v>6824</v>
      </c>
      <c r="F129" s="42">
        <v>3148</v>
      </c>
      <c r="G129" s="42">
        <v>995</v>
      </c>
      <c r="H129" s="42">
        <v>346</v>
      </c>
    </row>
    <row r="130" spans="1:8" ht="13.5" customHeight="1">
      <c r="A130" s="9" t="s">
        <v>28</v>
      </c>
      <c r="B130" s="12">
        <v>16310</v>
      </c>
      <c r="C130" s="42">
        <v>2926</v>
      </c>
      <c r="D130" s="42">
        <v>4779</v>
      </c>
      <c r="E130" s="42">
        <v>5216</v>
      </c>
      <c r="F130" s="42">
        <v>2389</v>
      </c>
      <c r="G130" s="42">
        <v>660</v>
      </c>
      <c r="H130" s="42">
        <v>340</v>
      </c>
    </row>
    <row r="131" spans="1:8" ht="13.5" customHeight="1">
      <c r="A131" s="9" t="s">
        <v>29</v>
      </c>
      <c r="B131" s="12">
        <v>12660</v>
      </c>
      <c r="C131" s="42">
        <v>2329</v>
      </c>
      <c r="D131" s="42">
        <v>3518</v>
      </c>
      <c r="E131" s="42">
        <v>3872</v>
      </c>
      <c r="F131" s="42">
        <v>2036</v>
      </c>
      <c r="G131" s="42">
        <v>664</v>
      </c>
      <c r="H131" s="42">
        <v>241</v>
      </c>
    </row>
    <row r="132" spans="1:8" ht="13.5" customHeight="1">
      <c r="A132" s="9" t="s">
        <v>30</v>
      </c>
      <c r="B132" s="42">
        <v>13076</v>
      </c>
      <c r="C132" s="42">
        <v>2383</v>
      </c>
      <c r="D132" s="42">
        <v>3483</v>
      </c>
      <c r="E132" s="42">
        <v>4266</v>
      </c>
      <c r="F132" s="42">
        <v>2091</v>
      </c>
      <c r="G132" s="42">
        <v>591</v>
      </c>
      <c r="H132" s="42">
        <v>262</v>
      </c>
    </row>
    <row r="133" spans="1:8" ht="13.5" customHeight="1">
      <c r="A133" s="106" t="s">
        <v>41</v>
      </c>
      <c r="B133" s="105"/>
      <c r="C133" s="105"/>
      <c r="D133" s="105"/>
      <c r="E133" s="105"/>
      <c r="F133" s="105"/>
      <c r="G133" s="105"/>
      <c r="H133" s="105"/>
    </row>
    <row r="134" spans="1:8" ht="13.5" customHeight="1">
      <c r="A134" s="10" t="s">
        <v>97</v>
      </c>
      <c r="B134" s="42">
        <v>11662</v>
      </c>
      <c r="C134" s="42">
        <v>10456</v>
      </c>
      <c r="D134" s="42">
        <v>1187</v>
      </c>
      <c r="E134" s="42">
        <v>18</v>
      </c>
      <c r="F134" s="42">
        <v>1</v>
      </c>
      <c r="G134" s="42">
        <v>0</v>
      </c>
      <c r="H134" s="42">
        <v>0</v>
      </c>
    </row>
    <row r="135" spans="1:8" ht="13.5" customHeight="1">
      <c r="A135" s="10" t="s">
        <v>59</v>
      </c>
      <c r="B135" s="42">
        <v>19283</v>
      </c>
      <c r="C135" s="42">
        <v>1655</v>
      </c>
      <c r="D135" s="42">
        <v>15502</v>
      </c>
      <c r="E135" s="42">
        <v>2088</v>
      </c>
      <c r="F135" s="42">
        <v>32</v>
      </c>
      <c r="G135" s="42">
        <v>6</v>
      </c>
      <c r="H135" s="42">
        <v>0</v>
      </c>
    </row>
    <row r="136" spans="1:8" ht="13.5" customHeight="1">
      <c r="A136" s="10" t="s">
        <v>60</v>
      </c>
      <c r="B136" s="42">
        <v>23225</v>
      </c>
      <c r="C136" s="42">
        <v>119</v>
      </c>
      <c r="D136" s="42">
        <v>4823</v>
      </c>
      <c r="E136" s="42">
        <v>16717</v>
      </c>
      <c r="F136" s="42">
        <v>1511</v>
      </c>
      <c r="G136" s="42">
        <v>50</v>
      </c>
      <c r="H136" s="42">
        <v>5</v>
      </c>
    </row>
    <row r="137" spans="1:8" ht="13.5" customHeight="1">
      <c r="A137" s="10" t="s">
        <v>61</v>
      </c>
      <c r="B137" s="42">
        <v>13281</v>
      </c>
      <c r="C137" s="42">
        <v>40</v>
      </c>
      <c r="D137" s="42">
        <v>318</v>
      </c>
      <c r="E137" s="42">
        <v>6234</v>
      </c>
      <c r="F137" s="42">
        <v>6246</v>
      </c>
      <c r="G137" s="42">
        <v>415</v>
      </c>
      <c r="H137" s="42">
        <v>28</v>
      </c>
    </row>
    <row r="138" spans="1:8" ht="13.5" customHeight="1">
      <c r="A138" s="10" t="s">
        <v>62</v>
      </c>
      <c r="B138" s="42">
        <v>6651</v>
      </c>
      <c r="C138" s="42">
        <v>18</v>
      </c>
      <c r="D138" s="42">
        <v>55</v>
      </c>
      <c r="E138" s="42">
        <v>682</v>
      </c>
      <c r="F138" s="42">
        <v>4136</v>
      </c>
      <c r="G138" s="42">
        <v>1631</v>
      </c>
      <c r="H138" s="42">
        <v>129</v>
      </c>
    </row>
    <row r="139" spans="1:8" ht="13.5" customHeight="1">
      <c r="A139" s="10" t="s">
        <v>63</v>
      </c>
      <c r="B139" s="42">
        <v>4377</v>
      </c>
      <c r="C139" s="42">
        <v>16</v>
      </c>
      <c r="D139" s="42">
        <v>17</v>
      </c>
      <c r="E139" s="42">
        <v>196</v>
      </c>
      <c r="F139" s="42">
        <v>1148</v>
      </c>
      <c r="G139" s="42">
        <v>2084</v>
      </c>
      <c r="H139" s="42">
        <v>916</v>
      </c>
    </row>
    <row r="140" spans="1:8" ht="13.5" customHeight="1">
      <c r="A140" s="10" t="s">
        <v>96</v>
      </c>
      <c r="B140" s="42">
        <v>2277</v>
      </c>
      <c r="C140" s="42">
        <v>5</v>
      </c>
      <c r="D140" s="42">
        <v>5</v>
      </c>
      <c r="E140" s="42">
        <v>28</v>
      </c>
      <c r="F140" s="42">
        <v>159</v>
      </c>
      <c r="G140" s="42">
        <v>568</v>
      </c>
      <c r="H140" s="42">
        <v>1512</v>
      </c>
    </row>
    <row r="141" spans="1:8" ht="13.5" customHeight="1">
      <c r="A141" s="10"/>
      <c r="B141" s="42"/>
      <c r="C141" s="42"/>
      <c r="D141" s="42"/>
      <c r="E141" s="42"/>
      <c r="F141" s="42"/>
      <c r="G141" s="42"/>
      <c r="H141" s="42"/>
    </row>
    <row r="142" spans="1:8" ht="13.5" customHeight="1">
      <c r="A142" s="9" t="s">
        <v>84</v>
      </c>
      <c r="B142" s="161"/>
      <c r="C142" s="161"/>
      <c r="D142" s="161"/>
      <c r="E142" s="161"/>
      <c r="F142" s="161"/>
      <c r="G142" s="161"/>
      <c r="H142" s="161"/>
    </row>
    <row r="143" spans="1:8" ht="13.5" customHeight="1">
      <c r="A143" s="9"/>
      <c r="B143" s="161"/>
      <c r="C143" s="161"/>
      <c r="D143" s="161"/>
      <c r="E143" s="161"/>
      <c r="F143" s="161"/>
      <c r="G143" s="161"/>
      <c r="H143" s="161"/>
    </row>
    <row r="144" spans="1:8" ht="13.5" customHeight="1">
      <c r="A144" s="46" t="s">
        <v>113</v>
      </c>
      <c r="B144" s="161"/>
      <c r="C144" s="161"/>
      <c r="D144" s="161"/>
      <c r="E144" s="161"/>
      <c r="F144" s="161"/>
      <c r="G144" s="161"/>
      <c r="H144" s="161"/>
    </row>
    <row r="145" spans="1:10" ht="13.5" customHeight="1">
      <c r="A145" s="46"/>
      <c r="B145" s="161"/>
      <c r="C145" s="161"/>
      <c r="D145" s="161"/>
      <c r="E145" s="161"/>
      <c r="F145" s="161"/>
      <c r="G145" s="161"/>
      <c r="H145" s="161"/>
    </row>
    <row r="146" spans="1:10" ht="13.5" customHeight="1">
      <c r="A146" s="46"/>
      <c r="B146" s="161"/>
      <c r="C146" s="161"/>
      <c r="D146" s="161"/>
      <c r="E146" s="161"/>
      <c r="F146" s="161"/>
      <c r="G146" s="161"/>
      <c r="H146" s="161"/>
    </row>
    <row r="147" spans="1:10" ht="13.5" customHeight="1">
      <c r="A147" s="90" t="s">
        <v>158</v>
      </c>
      <c r="B147" s="161"/>
      <c r="C147" s="161"/>
      <c r="D147" s="161"/>
      <c r="E147" s="161"/>
      <c r="F147" s="161"/>
      <c r="G147" s="161"/>
      <c r="H147" s="161"/>
    </row>
    <row r="148" spans="1:10" ht="13.5" customHeight="1">
      <c r="A148" s="41" t="s">
        <v>1</v>
      </c>
      <c r="B148" s="161"/>
      <c r="C148" s="161"/>
      <c r="D148" s="161"/>
      <c r="E148" s="161"/>
      <c r="F148" s="161"/>
      <c r="G148" s="161"/>
      <c r="H148" s="161"/>
    </row>
    <row r="149" spans="1:10" ht="13.5" customHeight="1">
      <c r="A149" s="161"/>
      <c r="B149" s="8"/>
      <c r="C149" s="8"/>
      <c r="D149" s="8"/>
      <c r="E149" s="8"/>
      <c r="F149" s="8"/>
      <c r="G149" s="8"/>
      <c r="H149" s="161"/>
    </row>
    <row r="150" spans="1:10" ht="13.5" customHeight="1">
      <c r="A150" s="101"/>
      <c r="B150" s="101"/>
      <c r="C150" s="103"/>
      <c r="D150" s="103"/>
      <c r="E150" s="103"/>
      <c r="F150" s="103"/>
      <c r="G150" s="103"/>
      <c r="H150" s="104" t="s">
        <v>42</v>
      </c>
      <c r="J150" s="170" t="s">
        <v>126</v>
      </c>
    </row>
    <row r="151" spans="1:10" ht="13.5" customHeight="1">
      <c r="A151" s="102"/>
      <c r="B151" s="100" t="s">
        <v>2</v>
      </c>
      <c r="C151" s="100">
        <v>1</v>
      </c>
      <c r="D151" s="100">
        <v>2</v>
      </c>
      <c r="E151" s="100">
        <v>3</v>
      </c>
      <c r="F151" s="100">
        <v>4</v>
      </c>
      <c r="G151" s="100">
        <v>5</v>
      </c>
      <c r="H151" s="100" t="s">
        <v>66</v>
      </c>
    </row>
    <row r="152" spans="1:10" ht="13.5" customHeight="1">
      <c r="A152" s="37" t="s">
        <v>2</v>
      </c>
      <c r="B152" s="36">
        <v>80125</v>
      </c>
      <c r="C152" s="36">
        <v>12243</v>
      </c>
      <c r="D152" s="36">
        <v>21731</v>
      </c>
      <c r="E152" s="36">
        <v>25742</v>
      </c>
      <c r="F152" s="36">
        <v>13092</v>
      </c>
      <c r="G152" s="36">
        <v>4725</v>
      </c>
      <c r="H152" s="36">
        <v>2592</v>
      </c>
    </row>
    <row r="153" spans="1:10" ht="13.5" customHeight="1">
      <c r="A153" s="37" t="s">
        <v>5</v>
      </c>
      <c r="B153" s="105"/>
      <c r="C153" s="105"/>
      <c r="D153" s="105"/>
      <c r="E153" s="105"/>
      <c r="F153" s="105"/>
      <c r="G153" s="105"/>
      <c r="H153" s="105"/>
    </row>
    <row r="154" spans="1:10" ht="13.5" customHeight="1">
      <c r="A154" s="9" t="s">
        <v>6</v>
      </c>
      <c r="B154" s="42">
        <v>2177</v>
      </c>
      <c r="C154" s="42">
        <v>12</v>
      </c>
      <c r="D154" s="42">
        <v>45</v>
      </c>
      <c r="E154" s="42">
        <v>165</v>
      </c>
      <c r="F154" s="42">
        <v>425</v>
      </c>
      <c r="G154" s="42">
        <v>712</v>
      </c>
      <c r="H154" s="42">
        <v>818</v>
      </c>
    </row>
    <row r="155" spans="1:10" ht="13.5" customHeight="1">
      <c r="A155" s="9" t="s">
        <v>7</v>
      </c>
      <c r="B155" s="42">
        <v>47591</v>
      </c>
      <c r="C155" s="42">
        <v>6231</v>
      </c>
      <c r="D155" s="42">
        <v>13345</v>
      </c>
      <c r="E155" s="42">
        <v>16101</v>
      </c>
      <c r="F155" s="42">
        <v>8222</v>
      </c>
      <c r="G155" s="42">
        <v>2617</v>
      </c>
      <c r="H155" s="42">
        <v>1075</v>
      </c>
    </row>
    <row r="156" spans="1:10" ht="13.5" customHeight="1">
      <c r="A156" s="10" t="s">
        <v>8</v>
      </c>
      <c r="B156" s="42">
        <v>29305</v>
      </c>
      <c r="C156" s="42">
        <v>5654</v>
      </c>
      <c r="D156" s="42">
        <v>8163</v>
      </c>
      <c r="E156" s="42">
        <v>9262</v>
      </c>
      <c r="F156" s="42">
        <v>4270</v>
      </c>
      <c r="G156" s="42">
        <v>1320</v>
      </c>
      <c r="H156" s="42">
        <v>636</v>
      </c>
    </row>
    <row r="157" spans="1:10" ht="13.5" customHeight="1">
      <c r="A157" s="10" t="s">
        <v>65</v>
      </c>
      <c r="B157" s="42">
        <v>1052</v>
      </c>
      <c r="C157" s="42">
        <v>346</v>
      </c>
      <c r="D157" s="42">
        <v>178</v>
      </c>
      <c r="E157" s="42">
        <v>214</v>
      </c>
      <c r="F157" s="42">
        <v>175</v>
      </c>
      <c r="G157" s="42">
        <v>76</v>
      </c>
      <c r="H157" s="42">
        <v>63</v>
      </c>
    </row>
    <row r="158" spans="1:10" ht="13.5" customHeight="1">
      <c r="A158" s="106" t="s">
        <v>39</v>
      </c>
      <c r="B158" s="105"/>
      <c r="C158" s="105"/>
      <c r="D158" s="105"/>
      <c r="E158" s="105"/>
      <c r="F158" s="105"/>
      <c r="G158" s="105"/>
      <c r="H158" s="105"/>
    </row>
    <row r="159" spans="1:10" ht="13.5" customHeight="1">
      <c r="A159" s="9" t="s">
        <v>10</v>
      </c>
      <c r="B159" s="42">
        <v>12702</v>
      </c>
      <c r="C159" s="42">
        <v>1722</v>
      </c>
      <c r="D159" s="42">
        <v>2706</v>
      </c>
      <c r="E159" s="42">
        <v>3944</v>
      </c>
      <c r="F159" s="42">
        <v>2189</v>
      </c>
      <c r="G159" s="42">
        <v>1227</v>
      </c>
      <c r="H159" s="42">
        <v>914</v>
      </c>
    </row>
    <row r="160" spans="1:10" ht="13.5" customHeight="1">
      <c r="A160" s="9" t="s">
        <v>11</v>
      </c>
      <c r="B160" s="42">
        <v>14754</v>
      </c>
      <c r="C160" s="42">
        <v>2130</v>
      </c>
      <c r="D160" s="42">
        <v>4917</v>
      </c>
      <c r="E160" s="42">
        <v>4751</v>
      </c>
      <c r="F160" s="42">
        <v>1645</v>
      </c>
      <c r="G160" s="42">
        <v>779</v>
      </c>
      <c r="H160" s="42">
        <v>532</v>
      </c>
    </row>
    <row r="161" spans="1:8" ht="13.5" customHeight="1">
      <c r="A161" s="9" t="s">
        <v>12</v>
      </c>
      <c r="B161" s="42">
        <v>17824</v>
      </c>
      <c r="C161" s="42">
        <v>2648</v>
      </c>
      <c r="D161" s="42">
        <v>6699</v>
      </c>
      <c r="E161" s="42">
        <v>5853</v>
      </c>
      <c r="F161" s="42">
        <v>1751</v>
      </c>
      <c r="G161" s="42">
        <v>562</v>
      </c>
      <c r="H161" s="42">
        <v>311</v>
      </c>
    </row>
    <row r="162" spans="1:8" ht="13.5" customHeight="1">
      <c r="A162" s="9" t="s">
        <v>13</v>
      </c>
      <c r="B162" s="42">
        <v>13933</v>
      </c>
      <c r="C162" s="42">
        <v>3202</v>
      </c>
      <c r="D162" s="42">
        <v>3307</v>
      </c>
      <c r="E162" s="42">
        <v>4646</v>
      </c>
      <c r="F162" s="42">
        <v>1898</v>
      </c>
      <c r="G162" s="42">
        <v>520</v>
      </c>
      <c r="H162" s="42">
        <v>360</v>
      </c>
    </row>
    <row r="163" spans="1:8" ht="13.5" customHeight="1">
      <c r="A163" s="9" t="s">
        <v>14</v>
      </c>
      <c r="B163" s="42">
        <v>5853</v>
      </c>
      <c r="C163" s="42">
        <v>1185</v>
      </c>
      <c r="D163" s="42">
        <v>1079</v>
      </c>
      <c r="E163" s="42">
        <v>1841</v>
      </c>
      <c r="F163" s="42">
        <v>1234</v>
      </c>
      <c r="G163" s="42">
        <v>405</v>
      </c>
      <c r="H163" s="42">
        <v>109</v>
      </c>
    </row>
    <row r="164" spans="1:8" ht="13.5" customHeight="1">
      <c r="A164" s="9" t="s">
        <v>15</v>
      </c>
      <c r="B164" s="42">
        <v>1829</v>
      </c>
      <c r="C164" s="42">
        <v>70</v>
      </c>
      <c r="D164" s="42">
        <v>298</v>
      </c>
      <c r="E164" s="42">
        <v>521</v>
      </c>
      <c r="F164" s="42">
        <v>659</v>
      </c>
      <c r="G164" s="42">
        <v>214</v>
      </c>
      <c r="H164" s="42">
        <v>67</v>
      </c>
    </row>
    <row r="165" spans="1:8" ht="13.5" customHeight="1">
      <c r="A165" s="9" t="s">
        <v>16</v>
      </c>
      <c r="B165" s="42">
        <v>1764</v>
      </c>
      <c r="C165" s="42">
        <v>123</v>
      </c>
      <c r="D165" s="42">
        <v>367</v>
      </c>
      <c r="E165" s="42">
        <v>532</v>
      </c>
      <c r="F165" s="42">
        <v>512</v>
      </c>
      <c r="G165" s="42">
        <v>184</v>
      </c>
      <c r="H165" s="42">
        <v>46</v>
      </c>
    </row>
    <row r="166" spans="1:8" ht="13.5" customHeight="1">
      <c r="A166" s="9" t="s">
        <v>17</v>
      </c>
      <c r="B166" s="42">
        <v>1019</v>
      </c>
      <c r="C166" s="42">
        <v>196</v>
      </c>
      <c r="D166" s="42">
        <v>223</v>
      </c>
      <c r="E166" s="42">
        <v>310</v>
      </c>
      <c r="F166" s="42">
        <v>164</v>
      </c>
      <c r="G166" s="42">
        <v>103</v>
      </c>
      <c r="H166" s="42">
        <v>23</v>
      </c>
    </row>
    <row r="167" spans="1:8" ht="13.5" customHeight="1">
      <c r="A167" s="9" t="s">
        <v>18</v>
      </c>
      <c r="B167" s="42">
        <v>995</v>
      </c>
      <c r="C167" s="42">
        <v>28</v>
      </c>
      <c r="D167" s="42">
        <v>128</v>
      </c>
      <c r="E167" s="42">
        <v>361</v>
      </c>
      <c r="F167" s="42">
        <v>317</v>
      </c>
      <c r="G167" s="42">
        <v>111</v>
      </c>
      <c r="H167" s="42">
        <v>50</v>
      </c>
    </row>
    <row r="168" spans="1:8" ht="13.5" customHeight="1">
      <c r="A168" s="9" t="s">
        <v>19</v>
      </c>
      <c r="B168" s="42">
        <v>999</v>
      </c>
      <c r="C168" s="42">
        <v>36</v>
      </c>
      <c r="D168" s="42">
        <v>85</v>
      </c>
      <c r="E168" s="42">
        <v>228</v>
      </c>
      <c r="F168" s="42">
        <v>435</v>
      </c>
      <c r="G168" s="42">
        <v>167</v>
      </c>
      <c r="H168" s="42">
        <v>48</v>
      </c>
    </row>
    <row r="169" spans="1:8" ht="13.5" customHeight="1">
      <c r="A169" s="9" t="s">
        <v>20</v>
      </c>
      <c r="B169" s="42">
        <v>2226</v>
      </c>
      <c r="C169" s="42">
        <v>121</v>
      </c>
      <c r="D169" s="42">
        <v>353</v>
      </c>
      <c r="E169" s="42">
        <v>606</v>
      </c>
      <c r="F169" s="42">
        <v>856</v>
      </c>
      <c r="G169" s="42">
        <v>213</v>
      </c>
      <c r="H169" s="42">
        <v>77</v>
      </c>
    </row>
    <row r="170" spans="1:8" ht="13.5" customHeight="1">
      <c r="A170" s="9" t="s">
        <v>21</v>
      </c>
      <c r="B170" s="42">
        <v>2309</v>
      </c>
      <c r="C170" s="42">
        <v>264</v>
      </c>
      <c r="D170" s="42">
        <v>568</v>
      </c>
      <c r="E170" s="42">
        <v>783</v>
      </c>
      <c r="F170" s="42">
        <v>551</v>
      </c>
      <c r="G170" s="42">
        <v>110</v>
      </c>
      <c r="H170" s="42">
        <v>33</v>
      </c>
    </row>
    <row r="171" spans="1:8" ht="13.5" customHeight="1">
      <c r="A171" s="9" t="s">
        <v>112</v>
      </c>
      <c r="B171" s="42">
        <v>3918</v>
      </c>
      <c r="C171" s="42">
        <v>518</v>
      </c>
      <c r="D171" s="42">
        <v>1001</v>
      </c>
      <c r="E171" s="42">
        <v>1366</v>
      </c>
      <c r="F171" s="42">
        <v>881</v>
      </c>
      <c r="G171" s="42">
        <v>130</v>
      </c>
      <c r="H171" s="42">
        <v>22</v>
      </c>
    </row>
    <row r="172" spans="1:8" ht="13.5" customHeight="1">
      <c r="A172" s="106" t="s">
        <v>40</v>
      </c>
      <c r="B172" s="105"/>
      <c r="C172" s="105"/>
      <c r="D172" s="105"/>
      <c r="E172" s="105"/>
      <c r="F172" s="105"/>
      <c r="G172" s="105"/>
      <c r="H172" s="105"/>
    </row>
    <row r="173" spans="1:8" ht="13.5" customHeight="1">
      <c r="A173" s="9" t="s">
        <v>23</v>
      </c>
      <c r="B173" s="42">
        <v>162</v>
      </c>
      <c r="C173" s="42">
        <v>63</v>
      </c>
      <c r="D173" s="42">
        <v>23</v>
      </c>
      <c r="E173" s="42">
        <v>33</v>
      </c>
      <c r="F173" s="42">
        <v>22</v>
      </c>
      <c r="G173" s="42">
        <v>11</v>
      </c>
      <c r="H173" s="163">
        <v>10</v>
      </c>
    </row>
    <row r="174" spans="1:8" ht="13.5" customHeight="1">
      <c r="A174" s="9" t="s">
        <v>24</v>
      </c>
      <c r="B174" s="42">
        <v>1963</v>
      </c>
      <c r="C174" s="42">
        <v>274</v>
      </c>
      <c r="D174" s="42">
        <v>155</v>
      </c>
      <c r="E174" s="42">
        <v>307</v>
      </c>
      <c r="F174" s="42">
        <v>449</v>
      </c>
      <c r="G174" s="42">
        <v>452</v>
      </c>
      <c r="H174" s="163">
        <v>326</v>
      </c>
    </row>
    <row r="175" spans="1:8" ht="13.5" customHeight="1">
      <c r="A175" s="9" t="s">
        <v>25</v>
      </c>
      <c r="B175" s="42">
        <v>5017</v>
      </c>
      <c r="C175" s="42">
        <v>390</v>
      </c>
      <c r="D175" s="42">
        <v>735</v>
      </c>
      <c r="E175" s="42">
        <v>1257</v>
      </c>
      <c r="F175" s="42">
        <v>1192</v>
      </c>
      <c r="G175" s="42">
        <v>714</v>
      </c>
      <c r="H175" s="163">
        <v>729</v>
      </c>
    </row>
    <row r="176" spans="1:8" ht="13.5" customHeight="1">
      <c r="A176" s="9" t="s">
        <v>26</v>
      </c>
      <c r="B176" s="42">
        <v>11530</v>
      </c>
      <c r="C176" s="42">
        <v>1320</v>
      </c>
      <c r="D176" s="42">
        <v>3127</v>
      </c>
      <c r="E176" s="42">
        <v>4204</v>
      </c>
      <c r="F176" s="42">
        <v>1901</v>
      </c>
      <c r="G176" s="42">
        <v>644</v>
      </c>
      <c r="H176" s="163">
        <v>334</v>
      </c>
    </row>
    <row r="177" spans="1:8" ht="13.5" customHeight="1">
      <c r="A177" s="9" t="s">
        <v>27</v>
      </c>
      <c r="B177" s="42">
        <v>19899</v>
      </c>
      <c r="C177" s="42">
        <v>2589</v>
      </c>
      <c r="D177" s="42">
        <v>6063</v>
      </c>
      <c r="E177" s="42">
        <v>6790</v>
      </c>
      <c r="F177" s="42">
        <v>3114</v>
      </c>
      <c r="G177" s="42">
        <v>993</v>
      </c>
      <c r="H177" s="163">
        <v>350</v>
      </c>
    </row>
    <row r="178" spans="1:8" ht="13.5" customHeight="1">
      <c r="A178" s="9" t="s">
        <v>28</v>
      </c>
      <c r="B178" s="42">
        <v>16268</v>
      </c>
      <c r="C178" s="42">
        <v>2942</v>
      </c>
      <c r="D178" s="42">
        <v>4772</v>
      </c>
      <c r="E178" s="42">
        <v>5157</v>
      </c>
      <c r="F178" s="42">
        <v>2385</v>
      </c>
      <c r="G178" s="42">
        <v>674</v>
      </c>
      <c r="H178" s="163">
        <v>338</v>
      </c>
    </row>
    <row r="179" spans="1:8" ht="13.5" customHeight="1">
      <c r="A179" s="9" t="s">
        <v>29</v>
      </c>
      <c r="B179" s="42">
        <v>12281</v>
      </c>
      <c r="C179" s="42">
        <v>2283</v>
      </c>
      <c r="D179" s="42">
        <v>3401</v>
      </c>
      <c r="E179" s="42">
        <v>3754</v>
      </c>
      <c r="F179" s="42">
        <v>1953</v>
      </c>
      <c r="G179" s="42">
        <v>648</v>
      </c>
      <c r="H179" s="163">
        <v>242</v>
      </c>
    </row>
    <row r="180" spans="1:8" ht="13.5" customHeight="1">
      <c r="A180" s="9" t="s">
        <v>30</v>
      </c>
      <c r="B180" s="42">
        <v>13005</v>
      </c>
      <c r="C180" s="42">
        <v>2382</v>
      </c>
      <c r="D180" s="42">
        <v>3455</v>
      </c>
      <c r="E180" s="42">
        <v>4240</v>
      </c>
      <c r="F180" s="42">
        <v>2076</v>
      </c>
      <c r="G180" s="42">
        <v>589</v>
      </c>
      <c r="H180" s="163">
        <v>263</v>
      </c>
    </row>
    <row r="181" spans="1:8" ht="13.5" customHeight="1">
      <c r="A181" s="106" t="s">
        <v>41</v>
      </c>
      <c r="B181" s="105"/>
      <c r="C181" s="105"/>
      <c r="D181" s="105"/>
      <c r="E181" s="105"/>
      <c r="F181" s="105"/>
      <c r="G181" s="105"/>
      <c r="H181" s="105"/>
    </row>
    <row r="182" spans="1:8" ht="13.5" customHeight="1">
      <c r="A182" s="10" t="s">
        <v>97</v>
      </c>
      <c r="B182" s="42">
        <v>11632</v>
      </c>
      <c r="C182" s="42">
        <v>10402</v>
      </c>
      <c r="D182" s="42">
        <v>1209</v>
      </c>
      <c r="E182" s="42">
        <v>18</v>
      </c>
      <c r="F182" s="42">
        <v>2</v>
      </c>
      <c r="G182" s="42">
        <v>0</v>
      </c>
      <c r="H182" s="163">
        <v>1</v>
      </c>
    </row>
    <row r="183" spans="1:8" ht="13.5" customHeight="1">
      <c r="A183" s="10" t="s">
        <v>59</v>
      </c>
      <c r="B183" s="42">
        <v>19126</v>
      </c>
      <c r="C183" s="42">
        <v>1645</v>
      </c>
      <c r="D183" s="42">
        <v>15358</v>
      </c>
      <c r="E183" s="42">
        <v>2085</v>
      </c>
      <c r="F183" s="42">
        <v>34</v>
      </c>
      <c r="G183" s="42">
        <v>4</v>
      </c>
      <c r="H183" s="163">
        <v>0</v>
      </c>
    </row>
    <row r="184" spans="1:8" ht="13.5" customHeight="1">
      <c r="A184" s="10" t="s">
        <v>60</v>
      </c>
      <c r="B184" s="42">
        <v>23005</v>
      </c>
      <c r="C184" s="42">
        <v>117</v>
      </c>
      <c r="D184" s="42">
        <v>4764</v>
      </c>
      <c r="E184" s="42">
        <v>16561</v>
      </c>
      <c r="F184" s="42">
        <v>1509</v>
      </c>
      <c r="G184" s="42">
        <v>49</v>
      </c>
      <c r="H184" s="163">
        <v>5</v>
      </c>
    </row>
    <row r="185" spans="1:8" ht="13.5" customHeight="1">
      <c r="A185" s="10" t="s">
        <v>61</v>
      </c>
      <c r="B185" s="42">
        <v>13142</v>
      </c>
      <c r="C185" s="42">
        <v>39</v>
      </c>
      <c r="D185" s="42">
        <v>319</v>
      </c>
      <c r="E185" s="42">
        <v>6161</v>
      </c>
      <c r="F185" s="42">
        <v>6182</v>
      </c>
      <c r="G185" s="42">
        <v>416</v>
      </c>
      <c r="H185" s="163">
        <v>25</v>
      </c>
    </row>
    <row r="186" spans="1:8" ht="13.5" customHeight="1">
      <c r="A186" s="10" t="s">
        <v>62</v>
      </c>
      <c r="B186" s="42">
        <v>6581</v>
      </c>
      <c r="C186" s="42">
        <v>19</v>
      </c>
      <c r="D186" s="42">
        <v>55</v>
      </c>
      <c r="E186" s="42">
        <v>688</v>
      </c>
      <c r="F186" s="42">
        <v>4064</v>
      </c>
      <c r="G186" s="42">
        <v>1622</v>
      </c>
      <c r="H186" s="163">
        <v>133</v>
      </c>
    </row>
    <row r="187" spans="1:8" ht="13.5" customHeight="1">
      <c r="A187" s="10" t="s">
        <v>63</v>
      </c>
      <c r="B187" s="42">
        <v>4362</v>
      </c>
      <c r="C187" s="42">
        <v>15</v>
      </c>
      <c r="D187" s="42">
        <v>21</v>
      </c>
      <c r="E187" s="42">
        <v>200</v>
      </c>
      <c r="F187" s="42">
        <v>1139</v>
      </c>
      <c r="G187" s="42">
        <v>2074</v>
      </c>
      <c r="H187" s="163">
        <v>913</v>
      </c>
    </row>
    <row r="188" spans="1:8" ht="13.5" customHeight="1">
      <c r="A188" s="10" t="s">
        <v>96</v>
      </c>
      <c r="B188" s="42">
        <v>2277</v>
      </c>
      <c r="C188" s="42">
        <v>6</v>
      </c>
      <c r="D188" s="42">
        <v>5</v>
      </c>
      <c r="E188" s="42">
        <v>29</v>
      </c>
      <c r="F188" s="42">
        <v>162</v>
      </c>
      <c r="G188" s="42">
        <v>560</v>
      </c>
      <c r="H188" s="42">
        <v>1515</v>
      </c>
    </row>
    <row r="189" spans="1:8" ht="13.5" customHeight="1">
      <c r="A189" s="10"/>
      <c r="B189" s="42"/>
      <c r="C189" s="42"/>
      <c r="D189" s="42"/>
      <c r="E189" s="42"/>
      <c r="F189" s="42"/>
      <c r="G189" s="42"/>
      <c r="H189" s="42"/>
    </row>
    <row r="190" spans="1:8" ht="13.5" customHeight="1">
      <c r="A190" s="9" t="s">
        <v>84</v>
      </c>
      <c r="B190" s="161"/>
      <c r="C190" s="161"/>
      <c r="D190" s="161"/>
      <c r="E190" s="161"/>
      <c r="F190" s="161"/>
      <c r="G190" s="161"/>
      <c r="H190" s="161"/>
    </row>
    <row r="191" spans="1:8" ht="13.5" customHeight="1">
      <c r="A191" s="9"/>
      <c r="B191" s="161"/>
      <c r="C191" s="161"/>
      <c r="D191" s="161"/>
      <c r="E191" s="161"/>
      <c r="F191" s="161"/>
      <c r="G191" s="161"/>
      <c r="H191" s="161"/>
    </row>
    <row r="192" spans="1:8" ht="13.5" customHeight="1">
      <c r="A192" s="46" t="s">
        <v>113</v>
      </c>
      <c r="B192" s="161"/>
      <c r="C192" s="161"/>
      <c r="D192" s="161"/>
      <c r="E192" s="161"/>
      <c r="F192" s="161"/>
      <c r="G192" s="161"/>
      <c r="H192" s="161"/>
    </row>
    <row r="193" spans="1:12" ht="13.5" customHeight="1">
      <c r="A193" s="46"/>
      <c r="B193" s="161"/>
      <c r="C193" s="161"/>
      <c r="D193" s="161"/>
      <c r="E193" s="161"/>
      <c r="F193" s="161"/>
      <c r="G193" s="161"/>
      <c r="H193" s="161"/>
    </row>
    <row r="194" spans="1:12" ht="13.5" customHeight="1">
      <c r="A194" s="46"/>
      <c r="B194" s="161"/>
      <c r="C194" s="161"/>
      <c r="D194" s="161"/>
      <c r="E194" s="161"/>
      <c r="F194" s="161"/>
      <c r="G194" s="161"/>
      <c r="H194" s="161"/>
    </row>
    <row r="195" spans="1:12" ht="13.5" customHeight="1">
      <c r="A195" s="90" t="s">
        <v>129</v>
      </c>
      <c r="B195" s="161"/>
      <c r="C195" s="161"/>
      <c r="D195" s="161"/>
      <c r="E195" s="161"/>
      <c r="F195" s="161"/>
      <c r="G195" s="161"/>
      <c r="H195" s="161"/>
    </row>
    <row r="196" spans="1:12" s="7" customFormat="1" ht="13.5" customHeight="1">
      <c r="A196" s="41" t="s">
        <v>1</v>
      </c>
      <c r="B196" s="161"/>
      <c r="C196" s="161"/>
      <c r="D196" s="161"/>
      <c r="E196" s="161"/>
      <c r="F196" s="161"/>
      <c r="G196" s="161"/>
      <c r="H196" s="161"/>
      <c r="I196" s="12"/>
      <c r="J196" s="12"/>
      <c r="K196" s="12"/>
      <c r="L196" s="12"/>
    </row>
    <row r="197" spans="1:12" ht="13.5" customHeight="1">
      <c r="A197" s="161"/>
      <c r="B197" s="8"/>
      <c r="C197" s="8"/>
      <c r="D197" s="8"/>
      <c r="E197" s="8"/>
      <c r="F197" s="8"/>
      <c r="G197" s="8"/>
      <c r="H197" s="161"/>
    </row>
    <row r="198" spans="1:12" ht="13.5" customHeight="1">
      <c r="A198" s="101"/>
      <c r="B198" s="101"/>
      <c r="C198" s="103"/>
      <c r="D198" s="103"/>
      <c r="E198" s="103"/>
      <c r="F198" s="103"/>
      <c r="G198" s="103"/>
      <c r="H198" s="104" t="s">
        <v>42</v>
      </c>
      <c r="J198" s="170" t="s">
        <v>126</v>
      </c>
    </row>
    <row r="199" spans="1:12" ht="13.5" customHeight="1">
      <c r="A199" s="102"/>
      <c r="B199" s="100" t="s">
        <v>2</v>
      </c>
      <c r="C199" s="100">
        <v>1</v>
      </c>
      <c r="D199" s="100">
        <v>2</v>
      </c>
      <c r="E199" s="100">
        <v>3</v>
      </c>
      <c r="F199" s="100">
        <v>4</v>
      </c>
      <c r="G199" s="100">
        <v>5</v>
      </c>
      <c r="H199" s="100" t="s">
        <v>66</v>
      </c>
    </row>
    <row r="200" spans="1:12" ht="13.5" customHeight="1">
      <c r="A200" s="37" t="s">
        <v>2</v>
      </c>
      <c r="B200" s="36">
        <v>79524</v>
      </c>
      <c r="C200" s="36">
        <v>11988</v>
      </c>
      <c r="D200" s="36">
        <v>21569</v>
      </c>
      <c r="E200" s="36">
        <v>25644</v>
      </c>
      <c r="F200" s="36">
        <v>13013</v>
      </c>
      <c r="G200" s="36">
        <v>4722</v>
      </c>
      <c r="H200" s="36">
        <v>2588</v>
      </c>
    </row>
    <row r="201" spans="1:12" ht="13.5" customHeight="1">
      <c r="A201" s="37" t="s">
        <v>5</v>
      </c>
      <c r="B201" s="105"/>
      <c r="C201" s="105"/>
      <c r="D201" s="105"/>
      <c r="E201" s="105"/>
      <c r="F201" s="105"/>
      <c r="G201" s="105"/>
      <c r="H201" s="105"/>
    </row>
    <row r="202" spans="1:12" ht="13.5" customHeight="1">
      <c r="A202" s="9" t="s">
        <v>6</v>
      </c>
      <c r="B202" s="42">
        <v>2173</v>
      </c>
      <c r="C202" s="42">
        <v>14</v>
      </c>
      <c r="D202" s="42">
        <v>44</v>
      </c>
      <c r="E202" s="42">
        <v>168</v>
      </c>
      <c r="F202" s="42">
        <v>419</v>
      </c>
      <c r="G202" s="42">
        <v>710</v>
      </c>
      <c r="H202" s="42">
        <v>818</v>
      </c>
    </row>
    <row r="203" spans="1:12" ht="13.5" customHeight="1">
      <c r="A203" s="9" t="s">
        <v>7</v>
      </c>
      <c r="B203" s="42">
        <v>47356</v>
      </c>
      <c r="C203" s="42">
        <v>6178</v>
      </c>
      <c r="D203" s="42">
        <v>13282</v>
      </c>
      <c r="E203" s="42">
        <v>16057</v>
      </c>
      <c r="F203" s="42">
        <v>8163</v>
      </c>
      <c r="G203" s="42">
        <v>2608</v>
      </c>
      <c r="H203" s="42">
        <v>1068</v>
      </c>
    </row>
    <row r="204" spans="1:12" ht="13.5" customHeight="1">
      <c r="A204" s="10" t="s">
        <v>8</v>
      </c>
      <c r="B204" s="42">
        <v>28858</v>
      </c>
      <c r="C204" s="42">
        <v>5391</v>
      </c>
      <c r="D204" s="42">
        <v>8052</v>
      </c>
      <c r="E204" s="42">
        <v>9198</v>
      </c>
      <c r="F204" s="42">
        <v>4249</v>
      </c>
      <c r="G204" s="42">
        <v>1327</v>
      </c>
      <c r="H204" s="42">
        <v>641</v>
      </c>
    </row>
    <row r="205" spans="1:12" ht="13.5" customHeight="1">
      <c r="A205" s="10" t="s">
        <v>65</v>
      </c>
      <c r="B205" s="42">
        <v>1137</v>
      </c>
      <c r="C205" s="42">
        <v>405</v>
      </c>
      <c r="D205" s="42">
        <v>191</v>
      </c>
      <c r="E205" s="42">
        <v>221</v>
      </c>
      <c r="F205" s="42">
        <v>182</v>
      </c>
      <c r="G205" s="42">
        <v>77</v>
      </c>
      <c r="H205" s="42">
        <v>61</v>
      </c>
    </row>
    <row r="206" spans="1:12" ht="13.5" customHeight="1">
      <c r="A206" s="106" t="s">
        <v>39</v>
      </c>
      <c r="B206" s="105"/>
      <c r="C206" s="105"/>
      <c r="D206" s="105"/>
      <c r="E206" s="105"/>
      <c r="F206" s="105"/>
      <c r="G206" s="105"/>
      <c r="H206" s="105"/>
    </row>
    <row r="207" spans="1:12" ht="13.5" customHeight="1">
      <c r="A207" s="9" t="s">
        <v>10</v>
      </c>
      <c r="B207" s="42">
        <v>12676</v>
      </c>
      <c r="C207" s="42">
        <v>1670</v>
      </c>
      <c r="D207" s="42">
        <v>2707</v>
      </c>
      <c r="E207" s="42">
        <v>3949</v>
      </c>
      <c r="F207" s="42">
        <v>2197</v>
      </c>
      <c r="G207" s="42">
        <v>1235</v>
      </c>
      <c r="H207" s="42">
        <v>918</v>
      </c>
    </row>
    <row r="208" spans="1:12" ht="13.5" customHeight="1">
      <c r="A208" s="9" t="s">
        <v>11</v>
      </c>
      <c r="B208" s="42">
        <v>14667</v>
      </c>
      <c r="C208" s="42">
        <v>2089</v>
      </c>
      <c r="D208" s="42">
        <v>4872</v>
      </c>
      <c r="E208" s="42">
        <v>4748</v>
      </c>
      <c r="F208" s="42">
        <v>1645</v>
      </c>
      <c r="G208" s="42">
        <v>778</v>
      </c>
      <c r="H208" s="42">
        <v>535</v>
      </c>
    </row>
    <row r="209" spans="1:8" ht="13.5" customHeight="1">
      <c r="A209" s="9" t="s">
        <v>12</v>
      </c>
      <c r="B209" s="42">
        <v>17787</v>
      </c>
      <c r="C209" s="42">
        <v>2623</v>
      </c>
      <c r="D209" s="42">
        <v>6684</v>
      </c>
      <c r="E209" s="42">
        <v>5861</v>
      </c>
      <c r="F209" s="42">
        <v>1747</v>
      </c>
      <c r="G209" s="42">
        <v>560</v>
      </c>
      <c r="H209" s="42">
        <v>312</v>
      </c>
    </row>
    <row r="210" spans="1:8" ht="13.5" customHeight="1">
      <c r="A210" s="9" t="s">
        <v>13</v>
      </c>
      <c r="B210" s="42">
        <v>13939</v>
      </c>
      <c r="C210" s="42">
        <v>3216</v>
      </c>
      <c r="D210" s="42">
        <v>3296</v>
      </c>
      <c r="E210" s="42">
        <v>4649</v>
      </c>
      <c r="F210" s="42">
        <v>1897</v>
      </c>
      <c r="G210" s="42">
        <v>522</v>
      </c>
      <c r="H210" s="42">
        <v>359</v>
      </c>
    </row>
    <row r="211" spans="1:8" ht="13.5" customHeight="1">
      <c r="A211" s="9" t="s">
        <v>14</v>
      </c>
      <c r="B211" s="42">
        <v>5880</v>
      </c>
      <c r="C211" s="42">
        <v>1182</v>
      </c>
      <c r="D211" s="42">
        <v>1081</v>
      </c>
      <c r="E211" s="42">
        <v>1860</v>
      </c>
      <c r="F211" s="42">
        <v>1241</v>
      </c>
      <c r="G211" s="42">
        <v>407</v>
      </c>
      <c r="H211" s="42">
        <v>109</v>
      </c>
    </row>
    <row r="212" spans="1:8" ht="13.5" customHeight="1">
      <c r="A212" s="9" t="s">
        <v>15</v>
      </c>
      <c r="B212" s="42">
        <v>1829</v>
      </c>
      <c r="C212" s="42">
        <v>69</v>
      </c>
      <c r="D212" s="42">
        <v>299</v>
      </c>
      <c r="E212" s="42">
        <v>521</v>
      </c>
      <c r="F212" s="42">
        <v>659</v>
      </c>
      <c r="G212" s="42">
        <v>214</v>
      </c>
      <c r="H212" s="42">
        <v>67</v>
      </c>
    </row>
    <row r="213" spans="1:8" ht="13.5" customHeight="1">
      <c r="A213" s="9" t="s">
        <v>16</v>
      </c>
      <c r="B213" s="42">
        <v>1764</v>
      </c>
      <c r="C213" s="42">
        <v>123</v>
      </c>
      <c r="D213" s="42">
        <v>367</v>
      </c>
      <c r="E213" s="42">
        <v>532</v>
      </c>
      <c r="F213" s="42">
        <v>512</v>
      </c>
      <c r="G213" s="42">
        <v>184</v>
      </c>
      <c r="H213" s="42">
        <v>46</v>
      </c>
    </row>
    <row r="214" spans="1:8" ht="13.5" customHeight="1">
      <c r="A214" s="9" t="s">
        <v>17</v>
      </c>
      <c r="B214" s="42">
        <v>1018</v>
      </c>
      <c r="C214" s="42">
        <v>197</v>
      </c>
      <c r="D214" s="42">
        <v>225</v>
      </c>
      <c r="E214" s="42">
        <v>308</v>
      </c>
      <c r="F214" s="42">
        <v>163</v>
      </c>
      <c r="G214" s="42">
        <v>101</v>
      </c>
      <c r="H214" s="42">
        <v>24</v>
      </c>
    </row>
    <row r="215" spans="1:8" ht="13.5" customHeight="1">
      <c r="A215" s="9" t="s">
        <v>18</v>
      </c>
      <c r="B215" s="42">
        <v>995</v>
      </c>
      <c r="C215" s="42">
        <v>28</v>
      </c>
      <c r="D215" s="42">
        <v>128</v>
      </c>
      <c r="E215" s="42">
        <v>361</v>
      </c>
      <c r="F215" s="42">
        <v>317</v>
      </c>
      <c r="G215" s="42">
        <v>111</v>
      </c>
      <c r="H215" s="42">
        <v>50</v>
      </c>
    </row>
    <row r="216" spans="1:8" ht="13.5" customHeight="1">
      <c r="A216" s="9" t="s">
        <v>19</v>
      </c>
      <c r="B216" s="42">
        <v>999</v>
      </c>
      <c r="C216" s="42">
        <v>36</v>
      </c>
      <c r="D216" s="42">
        <v>85</v>
      </c>
      <c r="E216" s="42">
        <v>228</v>
      </c>
      <c r="F216" s="42">
        <v>435</v>
      </c>
      <c r="G216" s="42">
        <v>167</v>
      </c>
      <c r="H216" s="42">
        <v>48</v>
      </c>
    </row>
    <row r="217" spans="1:8" ht="13.5" customHeight="1">
      <c r="A217" s="9" t="s">
        <v>20</v>
      </c>
      <c r="B217" s="42">
        <v>2226</v>
      </c>
      <c r="C217" s="42">
        <v>121</v>
      </c>
      <c r="D217" s="42">
        <v>353</v>
      </c>
      <c r="E217" s="42">
        <v>606</v>
      </c>
      <c r="F217" s="42">
        <v>856</v>
      </c>
      <c r="G217" s="42">
        <v>213</v>
      </c>
      <c r="H217" s="42">
        <v>77</v>
      </c>
    </row>
    <row r="218" spans="1:8" ht="13.5" customHeight="1">
      <c r="A218" s="9" t="s">
        <v>21</v>
      </c>
      <c r="B218" s="42">
        <v>2308</v>
      </c>
      <c r="C218" s="42">
        <v>264</v>
      </c>
      <c r="D218" s="42">
        <v>567</v>
      </c>
      <c r="E218" s="42">
        <v>783</v>
      </c>
      <c r="F218" s="42">
        <v>551</v>
      </c>
      <c r="G218" s="42">
        <v>110</v>
      </c>
      <c r="H218" s="42">
        <v>33</v>
      </c>
    </row>
    <row r="219" spans="1:8" ht="13.5" customHeight="1">
      <c r="A219" s="9" t="s">
        <v>131</v>
      </c>
      <c r="B219" s="42">
        <v>3436</v>
      </c>
      <c r="C219" s="42">
        <v>370</v>
      </c>
      <c r="D219" s="42">
        <v>905</v>
      </c>
      <c r="E219" s="42">
        <v>1238</v>
      </c>
      <c r="F219" s="42">
        <v>793</v>
      </c>
      <c r="G219" s="42">
        <v>120</v>
      </c>
      <c r="H219" s="42">
        <v>10</v>
      </c>
    </row>
    <row r="220" spans="1:8" ht="13.5" customHeight="1">
      <c r="A220" s="106" t="s">
        <v>40</v>
      </c>
      <c r="B220" s="105"/>
      <c r="C220" s="105"/>
      <c r="D220" s="105"/>
      <c r="E220" s="105"/>
      <c r="F220" s="105"/>
      <c r="G220" s="105"/>
      <c r="H220" s="105"/>
    </row>
    <row r="221" spans="1:8" ht="13.5" customHeight="1">
      <c r="A221" s="9" t="s">
        <v>23</v>
      </c>
      <c r="B221" s="42">
        <v>161</v>
      </c>
      <c r="C221" s="42">
        <v>61</v>
      </c>
      <c r="D221" s="42">
        <v>22</v>
      </c>
      <c r="E221" s="42">
        <v>33</v>
      </c>
      <c r="F221" s="42">
        <v>23</v>
      </c>
      <c r="G221" s="42">
        <v>11</v>
      </c>
      <c r="H221" s="163">
        <v>11</v>
      </c>
    </row>
    <row r="222" spans="1:8" ht="13.5" customHeight="1">
      <c r="A222" s="9" t="s">
        <v>24</v>
      </c>
      <c r="B222" s="42">
        <v>1943</v>
      </c>
      <c r="C222" s="42">
        <v>262</v>
      </c>
      <c r="D222" s="42">
        <v>149</v>
      </c>
      <c r="E222" s="42">
        <v>305</v>
      </c>
      <c r="F222" s="42">
        <v>449</v>
      </c>
      <c r="G222" s="42">
        <v>450</v>
      </c>
      <c r="H222" s="163">
        <v>328</v>
      </c>
    </row>
    <row r="223" spans="1:8" ht="13.5" customHeight="1">
      <c r="A223" s="9" t="s">
        <v>25</v>
      </c>
      <c r="B223" s="42">
        <v>4905</v>
      </c>
      <c r="C223" s="42">
        <v>359</v>
      </c>
      <c r="D223" s="42">
        <v>702</v>
      </c>
      <c r="E223" s="42">
        <v>1240</v>
      </c>
      <c r="F223" s="42">
        <v>1172</v>
      </c>
      <c r="G223" s="42">
        <v>708</v>
      </c>
      <c r="H223" s="163">
        <v>724</v>
      </c>
    </row>
    <row r="224" spans="1:8" ht="13.5" customHeight="1">
      <c r="A224" s="9" t="s">
        <v>26</v>
      </c>
      <c r="B224" s="42">
        <v>11527</v>
      </c>
      <c r="C224" s="42">
        <v>1320</v>
      </c>
      <c r="D224" s="42">
        <v>3119</v>
      </c>
      <c r="E224" s="42">
        <v>4206</v>
      </c>
      <c r="F224" s="42">
        <v>1905</v>
      </c>
      <c r="G224" s="42">
        <v>644</v>
      </c>
      <c r="H224" s="163">
        <v>333</v>
      </c>
    </row>
    <row r="225" spans="1:9" ht="13.5" customHeight="1">
      <c r="A225" s="9" t="s">
        <v>27</v>
      </c>
      <c r="B225" s="42">
        <v>19876</v>
      </c>
      <c r="C225" s="42">
        <v>2595</v>
      </c>
      <c r="D225" s="42">
        <v>6064</v>
      </c>
      <c r="E225" s="42">
        <v>6785</v>
      </c>
      <c r="F225" s="42">
        <v>3085</v>
      </c>
      <c r="G225" s="42">
        <v>993</v>
      </c>
      <c r="H225" s="163">
        <v>354</v>
      </c>
    </row>
    <row r="226" spans="1:9" ht="13.5" customHeight="1">
      <c r="A226" s="9" t="s">
        <v>28</v>
      </c>
      <c r="B226" s="42">
        <v>16162</v>
      </c>
      <c r="C226" s="42">
        <v>2895</v>
      </c>
      <c r="D226" s="42">
        <v>4736</v>
      </c>
      <c r="E226" s="42">
        <v>5139</v>
      </c>
      <c r="F226" s="42">
        <v>2374</v>
      </c>
      <c r="G226" s="42">
        <v>681</v>
      </c>
      <c r="H226" s="163">
        <v>337</v>
      </c>
    </row>
    <row r="227" spans="1:9" ht="13.5" customHeight="1">
      <c r="A227" s="9" t="s">
        <v>29</v>
      </c>
      <c r="B227" s="42">
        <v>12209</v>
      </c>
      <c r="C227" s="42">
        <v>2252</v>
      </c>
      <c r="D227" s="42">
        <v>3397</v>
      </c>
      <c r="E227" s="42">
        <v>3740</v>
      </c>
      <c r="F227" s="42">
        <v>1946</v>
      </c>
      <c r="G227" s="42">
        <v>638</v>
      </c>
      <c r="H227" s="163">
        <v>236</v>
      </c>
    </row>
    <row r="228" spans="1:9" ht="13.5" customHeight="1">
      <c r="A228" s="9" t="s">
        <v>30</v>
      </c>
      <c r="B228" s="42">
        <v>12741</v>
      </c>
      <c r="C228" s="42">
        <v>2244</v>
      </c>
      <c r="D228" s="42">
        <v>3380</v>
      </c>
      <c r="E228" s="42">
        <v>4196</v>
      </c>
      <c r="F228" s="42">
        <v>2059</v>
      </c>
      <c r="G228" s="42">
        <v>597</v>
      </c>
      <c r="H228" s="42">
        <v>265</v>
      </c>
    </row>
    <row r="229" spans="1:9" ht="13.5" customHeight="1">
      <c r="A229" s="106" t="s">
        <v>41</v>
      </c>
      <c r="B229" s="105"/>
      <c r="C229" s="105"/>
      <c r="D229" s="105"/>
      <c r="E229" s="105"/>
      <c r="F229" s="105"/>
      <c r="G229" s="105"/>
      <c r="H229" s="105"/>
    </row>
    <row r="230" spans="1:9" ht="13.5" customHeight="1">
      <c r="A230" s="10" t="s">
        <v>97</v>
      </c>
      <c r="B230" s="42">
        <v>11414</v>
      </c>
      <c r="C230" s="42">
        <v>10188</v>
      </c>
      <c r="D230" s="42">
        <v>1205</v>
      </c>
      <c r="E230" s="42">
        <v>19</v>
      </c>
      <c r="F230" s="42">
        <v>2</v>
      </c>
      <c r="G230" s="42">
        <v>0</v>
      </c>
      <c r="H230" s="42">
        <v>0</v>
      </c>
      <c r="I230"/>
    </row>
    <row r="231" spans="1:9" ht="13.5" customHeight="1">
      <c r="A231" s="10" t="s">
        <v>59</v>
      </c>
      <c r="B231" s="42">
        <v>18993</v>
      </c>
      <c r="C231" s="42">
        <v>1615</v>
      </c>
      <c r="D231" s="42">
        <v>15252</v>
      </c>
      <c r="E231" s="42">
        <v>2085</v>
      </c>
      <c r="F231" s="42">
        <v>36</v>
      </c>
      <c r="G231" s="42">
        <v>4</v>
      </c>
      <c r="H231" s="42">
        <v>1</v>
      </c>
    </row>
    <row r="232" spans="1:9" ht="13.5" customHeight="1">
      <c r="A232" s="10" t="s">
        <v>60</v>
      </c>
      <c r="B232" s="42">
        <v>22870</v>
      </c>
      <c r="C232" s="42">
        <v>109</v>
      </c>
      <c r="D232" s="42">
        <v>4716</v>
      </c>
      <c r="E232" s="42">
        <v>16489</v>
      </c>
      <c r="F232" s="42">
        <v>1501</v>
      </c>
      <c r="G232" s="42">
        <v>50</v>
      </c>
      <c r="H232" s="42">
        <v>5</v>
      </c>
    </row>
    <row r="233" spans="1:9" ht="13.5" customHeight="1">
      <c r="A233" s="10" t="s">
        <v>61</v>
      </c>
      <c r="B233" s="42">
        <v>13052</v>
      </c>
      <c r="C233" s="42">
        <v>38</v>
      </c>
      <c r="D233" s="42">
        <v>314</v>
      </c>
      <c r="E233" s="42">
        <v>6137</v>
      </c>
      <c r="F233" s="42">
        <v>6116</v>
      </c>
      <c r="G233" s="42">
        <v>419</v>
      </c>
      <c r="H233" s="42">
        <v>28</v>
      </c>
    </row>
    <row r="234" spans="1:9" ht="13.5" customHeight="1">
      <c r="A234" s="10" t="s">
        <v>62</v>
      </c>
      <c r="B234" s="42">
        <v>6571</v>
      </c>
      <c r="C234" s="42">
        <v>17</v>
      </c>
      <c r="D234" s="42">
        <v>56</v>
      </c>
      <c r="E234" s="42">
        <v>686</v>
      </c>
      <c r="F234" s="42">
        <v>4058</v>
      </c>
      <c r="G234" s="42">
        <v>1619</v>
      </c>
      <c r="H234" s="42">
        <v>135</v>
      </c>
    </row>
    <row r="235" spans="1:9" ht="13.5" customHeight="1">
      <c r="A235" s="10" t="s">
        <v>63</v>
      </c>
      <c r="B235" s="42">
        <v>4354</v>
      </c>
      <c r="C235" s="42">
        <v>14</v>
      </c>
      <c r="D235" s="42">
        <v>21</v>
      </c>
      <c r="E235" s="42">
        <v>200</v>
      </c>
      <c r="F235" s="42">
        <v>1140</v>
      </c>
      <c r="G235" s="42">
        <v>2072</v>
      </c>
      <c r="H235" s="42">
        <v>907</v>
      </c>
    </row>
    <row r="236" spans="1:9" ht="13.5" customHeight="1">
      <c r="A236" s="10" t="s">
        <v>96</v>
      </c>
      <c r="B236" s="42">
        <v>2270</v>
      </c>
      <c r="C236" s="42">
        <v>7</v>
      </c>
      <c r="D236" s="42">
        <v>5</v>
      </c>
      <c r="E236" s="42">
        <v>28</v>
      </c>
      <c r="F236" s="42">
        <v>160</v>
      </c>
      <c r="G236" s="42">
        <v>558</v>
      </c>
      <c r="H236" s="42">
        <v>1512</v>
      </c>
    </row>
    <row r="237" spans="1:9" ht="13.5" customHeight="1">
      <c r="A237" s="10"/>
      <c r="B237" s="42"/>
      <c r="C237" s="42"/>
      <c r="D237" s="42"/>
      <c r="E237" s="42"/>
      <c r="F237" s="42"/>
      <c r="G237" s="42"/>
      <c r="H237" s="42"/>
    </row>
    <row r="238" spans="1:9" ht="13.5" customHeight="1">
      <c r="A238" s="9" t="s">
        <v>84</v>
      </c>
      <c r="B238" s="161"/>
      <c r="C238" s="161"/>
      <c r="D238" s="161"/>
      <c r="E238" s="161"/>
      <c r="F238" s="161"/>
      <c r="G238" s="161"/>
      <c r="H238" s="161"/>
    </row>
    <row r="239" spans="1:9" ht="13.5" customHeight="1">
      <c r="A239" s="9"/>
      <c r="B239" s="161"/>
      <c r="C239" s="161"/>
      <c r="D239" s="161"/>
      <c r="E239" s="161"/>
      <c r="F239" s="161"/>
      <c r="G239" s="161"/>
      <c r="H239" s="161"/>
    </row>
    <row r="240" spans="1:9" ht="13.5" customHeight="1">
      <c r="A240" s="46" t="s">
        <v>113</v>
      </c>
      <c r="B240" s="161"/>
      <c r="C240" s="161"/>
      <c r="D240" s="161"/>
      <c r="E240" s="161"/>
      <c r="F240" s="161"/>
      <c r="G240" s="161"/>
      <c r="H240" s="161"/>
    </row>
    <row r="241" spans="1:12" ht="13.5" customHeight="1">
      <c r="A241" s="46"/>
      <c r="B241" s="161"/>
      <c r="C241" s="161"/>
      <c r="D241" s="161"/>
      <c r="E241" s="161"/>
      <c r="F241" s="161"/>
      <c r="G241" s="161"/>
      <c r="H241" s="161"/>
    </row>
    <row r="242" spans="1:12" ht="13.5" customHeight="1">
      <c r="A242" s="46"/>
      <c r="B242" s="161"/>
      <c r="C242" s="161"/>
      <c r="D242" s="161"/>
      <c r="E242" s="161"/>
      <c r="F242" s="161"/>
      <c r="G242" s="161"/>
      <c r="H242" s="161"/>
    </row>
    <row r="243" spans="1:12" s="7" customFormat="1" ht="13.5" customHeight="1">
      <c r="A243" s="90" t="s">
        <v>127</v>
      </c>
      <c r="B243" s="161"/>
      <c r="C243" s="161"/>
      <c r="D243" s="161"/>
      <c r="E243" s="161"/>
      <c r="F243" s="161"/>
      <c r="G243" s="161"/>
      <c r="H243" s="161"/>
      <c r="I243" s="12"/>
      <c r="J243" s="12"/>
      <c r="K243" s="12"/>
      <c r="L243" s="12"/>
    </row>
    <row r="244" spans="1:12" ht="13.5" customHeight="1">
      <c r="A244" s="41" t="s">
        <v>1</v>
      </c>
      <c r="B244" s="161"/>
      <c r="C244" s="161"/>
      <c r="D244" s="161"/>
      <c r="E244" s="161"/>
      <c r="F244" s="161"/>
      <c r="G244" s="161"/>
      <c r="H244" s="161"/>
    </row>
    <row r="245" spans="1:12" ht="13.5" customHeight="1">
      <c r="A245" s="161"/>
      <c r="B245" s="8"/>
      <c r="C245" s="8"/>
      <c r="D245" s="8"/>
      <c r="E245" s="8"/>
      <c r="F245" s="8"/>
      <c r="G245" s="8"/>
      <c r="H245" s="161"/>
      <c r="L245" s="7"/>
    </row>
    <row r="246" spans="1:12" ht="13.5" customHeight="1">
      <c r="A246" s="101"/>
      <c r="B246" s="101"/>
      <c r="C246" s="103"/>
      <c r="D246" s="103"/>
      <c r="E246" s="103"/>
      <c r="F246" s="103"/>
      <c r="G246" s="103"/>
      <c r="H246" s="104" t="s">
        <v>42</v>
      </c>
      <c r="J246" s="170" t="s">
        <v>126</v>
      </c>
    </row>
    <row r="247" spans="1:12" ht="13.5" customHeight="1">
      <c r="A247" s="102"/>
      <c r="B247" s="100" t="s">
        <v>2</v>
      </c>
      <c r="C247" s="100">
        <v>1</v>
      </c>
      <c r="D247" s="100">
        <v>2</v>
      </c>
      <c r="E247" s="100">
        <v>3</v>
      </c>
      <c r="F247" s="100">
        <v>4</v>
      </c>
      <c r="G247" s="100">
        <v>5</v>
      </c>
      <c r="H247" s="100" t="s">
        <v>66</v>
      </c>
    </row>
    <row r="248" spans="1:12" ht="13.5" customHeight="1">
      <c r="A248" s="37" t="s">
        <v>2</v>
      </c>
      <c r="B248" s="36">
        <v>79082</v>
      </c>
      <c r="C248" s="36">
        <v>11954</v>
      </c>
      <c r="D248" s="36">
        <v>21508</v>
      </c>
      <c r="E248" s="36">
        <v>25401</v>
      </c>
      <c r="F248" s="36">
        <v>12921</v>
      </c>
      <c r="G248" s="36">
        <v>4703</v>
      </c>
      <c r="H248" s="36">
        <v>2595</v>
      </c>
    </row>
    <row r="249" spans="1:12" ht="13.5" customHeight="1">
      <c r="A249" s="37" t="s">
        <v>5</v>
      </c>
      <c r="B249" s="105"/>
      <c r="C249" s="105"/>
      <c r="D249" s="105"/>
      <c r="E249" s="105"/>
      <c r="F249" s="105"/>
      <c r="G249" s="105"/>
      <c r="H249" s="105"/>
    </row>
    <row r="250" spans="1:12" ht="13.5" customHeight="1">
      <c r="A250" s="9" t="s">
        <v>6</v>
      </c>
      <c r="B250" s="42">
        <v>2186</v>
      </c>
      <c r="C250" s="42">
        <v>14</v>
      </c>
      <c r="D250" s="42">
        <v>43</v>
      </c>
      <c r="E250" s="42">
        <v>172</v>
      </c>
      <c r="F250" s="42">
        <v>420</v>
      </c>
      <c r="G250" s="42">
        <v>710</v>
      </c>
      <c r="H250" s="42">
        <v>827</v>
      </c>
    </row>
    <row r="251" spans="1:12" ht="13.5" customHeight="1">
      <c r="A251" s="9" t="s">
        <v>7</v>
      </c>
      <c r="B251" s="42">
        <v>47167</v>
      </c>
      <c r="C251" s="42">
        <v>6204</v>
      </c>
      <c r="D251" s="42">
        <v>13274</v>
      </c>
      <c r="E251" s="42">
        <v>15956</v>
      </c>
      <c r="F251" s="42">
        <v>8099</v>
      </c>
      <c r="G251" s="42">
        <v>2572</v>
      </c>
      <c r="H251" s="42">
        <v>1062</v>
      </c>
    </row>
    <row r="252" spans="1:12" ht="13.5" customHeight="1">
      <c r="A252" s="10" t="s">
        <v>8</v>
      </c>
      <c r="B252" s="42">
        <v>28544</v>
      </c>
      <c r="C252" s="42">
        <v>5317</v>
      </c>
      <c r="D252" s="42">
        <v>7996</v>
      </c>
      <c r="E252" s="42">
        <v>9036</v>
      </c>
      <c r="F252" s="42">
        <v>4205</v>
      </c>
      <c r="G252" s="42">
        <v>1343</v>
      </c>
      <c r="H252" s="42">
        <v>647</v>
      </c>
    </row>
    <row r="253" spans="1:12" ht="13.5" customHeight="1">
      <c r="A253" s="10" t="s">
        <v>65</v>
      </c>
      <c r="B253" s="42">
        <v>1185</v>
      </c>
      <c r="C253" s="42">
        <v>419</v>
      </c>
      <c r="D253" s="42">
        <v>195</v>
      </c>
      <c r="E253" s="42">
        <v>237</v>
      </c>
      <c r="F253" s="42">
        <v>197</v>
      </c>
      <c r="G253" s="42">
        <v>78</v>
      </c>
      <c r="H253" s="42">
        <v>59</v>
      </c>
      <c r="J253" s="171"/>
    </row>
    <row r="254" spans="1:12" ht="13.5" customHeight="1">
      <c r="A254" s="106" t="s">
        <v>39</v>
      </c>
      <c r="B254" s="105"/>
      <c r="C254" s="105"/>
      <c r="D254" s="105"/>
      <c r="E254" s="105"/>
      <c r="F254" s="105"/>
      <c r="G254" s="105"/>
      <c r="H254" s="105"/>
      <c r="J254" s="171"/>
    </row>
    <row r="255" spans="1:12" ht="13.5" customHeight="1">
      <c r="A255" s="9" t="s">
        <v>10</v>
      </c>
      <c r="B255" s="42">
        <v>12596</v>
      </c>
      <c r="C255" s="42">
        <v>1644</v>
      </c>
      <c r="D255" s="42">
        <v>2695</v>
      </c>
      <c r="E255" s="42">
        <v>3918</v>
      </c>
      <c r="F255" s="42">
        <v>2184</v>
      </c>
      <c r="G255" s="42">
        <v>1235</v>
      </c>
      <c r="H255" s="42">
        <v>920</v>
      </c>
      <c r="J255" s="171"/>
    </row>
    <row r="256" spans="1:12" ht="13.5" customHeight="1">
      <c r="A256" s="9" t="s">
        <v>11</v>
      </c>
      <c r="B256" s="42">
        <v>14656</v>
      </c>
      <c r="C256" s="42">
        <v>2090</v>
      </c>
      <c r="D256" s="42">
        <v>4864</v>
      </c>
      <c r="E256" s="42">
        <v>4722</v>
      </c>
      <c r="F256" s="42">
        <v>1654</v>
      </c>
      <c r="G256" s="42">
        <v>788</v>
      </c>
      <c r="H256" s="42">
        <v>538</v>
      </c>
      <c r="J256" s="171"/>
    </row>
    <row r="257" spans="1:10" ht="13.5" customHeight="1">
      <c r="A257" s="9" t="s">
        <v>12</v>
      </c>
      <c r="B257" s="42">
        <v>17921</v>
      </c>
      <c r="C257" s="42">
        <v>2663</v>
      </c>
      <c r="D257" s="42">
        <v>6765</v>
      </c>
      <c r="E257" s="42">
        <v>5884</v>
      </c>
      <c r="F257" s="42">
        <v>1740</v>
      </c>
      <c r="G257" s="42">
        <v>553</v>
      </c>
      <c r="H257" s="42">
        <v>316</v>
      </c>
      <c r="I257" s="42"/>
      <c r="J257" s="171"/>
    </row>
    <row r="258" spans="1:10" ht="13.5" customHeight="1">
      <c r="A258" s="9" t="s">
        <v>13</v>
      </c>
      <c r="B258" s="42">
        <v>13825</v>
      </c>
      <c r="C258" s="42">
        <v>3177</v>
      </c>
      <c r="D258" s="42">
        <v>3269</v>
      </c>
      <c r="E258" s="42">
        <v>4606</v>
      </c>
      <c r="F258" s="42">
        <v>1894</v>
      </c>
      <c r="G258" s="42">
        <v>519</v>
      </c>
      <c r="H258" s="42">
        <v>360</v>
      </c>
      <c r="I258" s="42"/>
      <c r="J258" s="171"/>
    </row>
    <row r="259" spans="1:10" ht="13.5" customHeight="1">
      <c r="A259" s="9" t="s">
        <v>14</v>
      </c>
      <c r="B259" s="42">
        <v>5856</v>
      </c>
      <c r="C259" s="42">
        <v>1201</v>
      </c>
      <c r="D259" s="42">
        <v>1069</v>
      </c>
      <c r="E259" s="42">
        <v>1839</v>
      </c>
      <c r="F259" s="42">
        <v>1230</v>
      </c>
      <c r="G259" s="42">
        <v>408</v>
      </c>
      <c r="H259" s="42">
        <v>109</v>
      </c>
      <c r="I259" s="42"/>
      <c r="J259" s="171"/>
    </row>
    <row r="260" spans="1:10" ht="13.5" customHeight="1">
      <c r="A260" s="9" t="s">
        <v>15</v>
      </c>
      <c r="B260" s="42">
        <v>1827</v>
      </c>
      <c r="C260" s="42">
        <v>68</v>
      </c>
      <c r="D260" s="42">
        <v>299</v>
      </c>
      <c r="E260" s="42">
        <v>521</v>
      </c>
      <c r="F260" s="42">
        <v>658</v>
      </c>
      <c r="G260" s="42">
        <v>214</v>
      </c>
      <c r="H260" s="42">
        <v>67</v>
      </c>
      <c r="I260" s="42"/>
      <c r="J260" s="171"/>
    </row>
    <row r="261" spans="1:10" ht="13.5" customHeight="1">
      <c r="A261" s="9" t="s">
        <v>16</v>
      </c>
      <c r="B261" s="42">
        <v>1765</v>
      </c>
      <c r="C261" s="42">
        <v>123</v>
      </c>
      <c r="D261" s="42">
        <v>368</v>
      </c>
      <c r="E261" s="42">
        <v>532</v>
      </c>
      <c r="F261" s="42">
        <v>512</v>
      </c>
      <c r="G261" s="42">
        <v>184</v>
      </c>
      <c r="H261" s="42">
        <v>46</v>
      </c>
      <c r="I261" s="42"/>
      <c r="J261" s="171"/>
    </row>
    <row r="262" spans="1:10" ht="13.5" customHeight="1">
      <c r="A262" s="9" t="s">
        <v>17</v>
      </c>
      <c r="B262" s="42">
        <v>1014</v>
      </c>
      <c r="C262" s="42">
        <v>196</v>
      </c>
      <c r="D262" s="42">
        <v>224</v>
      </c>
      <c r="E262" s="42">
        <v>306</v>
      </c>
      <c r="F262" s="42">
        <v>162</v>
      </c>
      <c r="G262" s="42">
        <v>102</v>
      </c>
      <c r="H262" s="42">
        <v>24</v>
      </c>
      <c r="I262" s="42"/>
      <c r="J262" s="171"/>
    </row>
    <row r="263" spans="1:10" ht="13.5" customHeight="1">
      <c r="A263" s="9" t="s">
        <v>18</v>
      </c>
      <c r="B263" s="42">
        <v>995</v>
      </c>
      <c r="C263" s="42">
        <v>28</v>
      </c>
      <c r="D263" s="42">
        <v>128</v>
      </c>
      <c r="E263" s="42">
        <v>361</v>
      </c>
      <c r="F263" s="42">
        <v>317</v>
      </c>
      <c r="G263" s="42">
        <v>111</v>
      </c>
      <c r="H263" s="42">
        <v>50</v>
      </c>
      <c r="I263" s="42"/>
      <c r="J263" s="171"/>
    </row>
    <row r="264" spans="1:10" ht="13.5" customHeight="1">
      <c r="A264" s="9" t="s">
        <v>19</v>
      </c>
      <c r="B264" s="42">
        <v>999</v>
      </c>
      <c r="C264" s="42">
        <v>36</v>
      </c>
      <c r="D264" s="42">
        <v>85</v>
      </c>
      <c r="E264" s="42">
        <v>228</v>
      </c>
      <c r="F264" s="42">
        <v>435</v>
      </c>
      <c r="G264" s="42">
        <v>167</v>
      </c>
      <c r="H264" s="42">
        <v>48</v>
      </c>
      <c r="I264" s="42"/>
      <c r="J264" s="171"/>
    </row>
    <row r="265" spans="1:10" ht="13.5" customHeight="1">
      <c r="A265" s="9" t="s">
        <v>20</v>
      </c>
      <c r="B265" s="42">
        <v>2224</v>
      </c>
      <c r="C265" s="42">
        <v>120</v>
      </c>
      <c r="D265" s="42">
        <v>353</v>
      </c>
      <c r="E265" s="42">
        <v>604</v>
      </c>
      <c r="F265" s="42">
        <v>856</v>
      </c>
      <c r="G265" s="42">
        <v>214</v>
      </c>
      <c r="H265" s="42">
        <v>77</v>
      </c>
      <c r="I265" s="42"/>
      <c r="J265" s="171"/>
    </row>
    <row r="266" spans="1:10" ht="13.5" customHeight="1">
      <c r="A266" s="9" t="s">
        <v>21</v>
      </c>
      <c r="B266" s="42">
        <v>2308</v>
      </c>
      <c r="C266" s="42">
        <v>264</v>
      </c>
      <c r="D266" s="42">
        <v>567</v>
      </c>
      <c r="E266" s="42">
        <v>783</v>
      </c>
      <c r="F266" s="42">
        <v>551</v>
      </c>
      <c r="G266" s="42">
        <v>110</v>
      </c>
      <c r="H266" s="42">
        <v>33</v>
      </c>
      <c r="I266" s="42"/>
    </row>
    <row r="267" spans="1:10" ht="13.5" customHeight="1">
      <c r="A267" s="9" t="s">
        <v>112</v>
      </c>
      <c r="B267" s="42">
        <v>3096</v>
      </c>
      <c r="C267" s="42">
        <v>344</v>
      </c>
      <c r="D267" s="42">
        <v>822</v>
      </c>
      <c r="E267" s="42">
        <v>1097</v>
      </c>
      <c r="F267" s="42">
        <v>728</v>
      </c>
      <c r="G267" s="42">
        <v>98</v>
      </c>
      <c r="H267" s="42">
        <v>7</v>
      </c>
      <c r="I267" s="42"/>
    </row>
    <row r="268" spans="1:10" ht="13.5" customHeight="1">
      <c r="A268" s="106" t="s">
        <v>40</v>
      </c>
      <c r="B268" s="105"/>
      <c r="C268" s="105"/>
      <c r="D268" s="105"/>
      <c r="E268" s="105"/>
      <c r="F268" s="105"/>
      <c r="G268" s="105"/>
      <c r="H268" s="105"/>
      <c r="I268" s="42"/>
    </row>
    <row r="269" spans="1:10" ht="13.5" customHeight="1">
      <c r="A269" s="9" t="s">
        <v>23</v>
      </c>
      <c r="B269" s="42">
        <v>160</v>
      </c>
      <c r="C269" s="42">
        <v>60</v>
      </c>
      <c r="D269" s="42">
        <v>21</v>
      </c>
      <c r="E269" s="42">
        <v>34</v>
      </c>
      <c r="F269" s="42">
        <v>23</v>
      </c>
      <c r="G269" s="42">
        <v>12</v>
      </c>
      <c r="H269" s="163">
        <v>10</v>
      </c>
      <c r="I269" s="42"/>
    </row>
    <row r="270" spans="1:10" ht="13.5" customHeight="1">
      <c r="A270" s="9" t="s">
        <v>24</v>
      </c>
      <c r="B270" s="42">
        <v>1935</v>
      </c>
      <c r="C270" s="42">
        <v>254</v>
      </c>
      <c r="D270" s="42">
        <v>159</v>
      </c>
      <c r="E270" s="42">
        <v>305</v>
      </c>
      <c r="F270" s="42">
        <v>438</v>
      </c>
      <c r="G270" s="42">
        <v>446</v>
      </c>
      <c r="H270" s="163">
        <v>333</v>
      </c>
    </row>
    <row r="271" spans="1:10" ht="13.5" customHeight="1">
      <c r="A271" s="9" t="s">
        <v>25</v>
      </c>
      <c r="B271" s="42">
        <v>4736</v>
      </c>
      <c r="C271" s="42">
        <v>340</v>
      </c>
      <c r="D271" s="42">
        <v>668</v>
      </c>
      <c r="E271" s="42">
        <v>1184</v>
      </c>
      <c r="F271" s="42">
        <v>1131</v>
      </c>
      <c r="G271" s="42">
        <v>688</v>
      </c>
      <c r="H271" s="163">
        <v>725</v>
      </c>
    </row>
    <row r="272" spans="1:10" ht="13.5" customHeight="1">
      <c r="A272" s="9" t="s">
        <v>26</v>
      </c>
      <c r="B272" s="42">
        <v>11539</v>
      </c>
      <c r="C272" s="42">
        <v>1311</v>
      </c>
      <c r="D272" s="42">
        <v>3139</v>
      </c>
      <c r="E272" s="42">
        <v>4191</v>
      </c>
      <c r="F272" s="42">
        <v>1920</v>
      </c>
      <c r="G272" s="42">
        <v>639</v>
      </c>
      <c r="H272" s="163">
        <v>339</v>
      </c>
    </row>
    <row r="273" spans="1:8" ht="13.5" customHeight="1">
      <c r="A273" s="9" t="s">
        <v>27</v>
      </c>
      <c r="B273" s="42">
        <v>20090</v>
      </c>
      <c r="C273" s="42">
        <v>2656</v>
      </c>
      <c r="D273" s="42">
        <v>6165</v>
      </c>
      <c r="E273" s="42">
        <v>6826</v>
      </c>
      <c r="F273" s="42">
        <v>3083</v>
      </c>
      <c r="G273" s="42">
        <v>1005</v>
      </c>
      <c r="H273" s="163">
        <v>355</v>
      </c>
    </row>
    <row r="274" spans="1:8" ht="13.5" customHeight="1">
      <c r="A274" s="9" t="s">
        <v>28</v>
      </c>
      <c r="B274" s="42">
        <v>15926</v>
      </c>
      <c r="C274" s="42">
        <v>2865</v>
      </c>
      <c r="D274" s="42">
        <v>4645</v>
      </c>
      <c r="E274" s="42">
        <v>5047</v>
      </c>
      <c r="F274" s="42">
        <v>2355</v>
      </c>
      <c r="G274" s="42">
        <v>680</v>
      </c>
      <c r="H274" s="163">
        <v>334</v>
      </c>
    </row>
    <row r="275" spans="1:8" ht="13.5" customHeight="1">
      <c r="A275" s="9" t="s">
        <v>29</v>
      </c>
      <c r="B275" s="42">
        <v>12016</v>
      </c>
      <c r="C275" s="42">
        <v>2225</v>
      </c>
      <c r="D275" s="42">
        <v>3342</v>
      </c>
      <c r="E275" s="42">
        <v>3665</v>
      </c>
      <c r="F275" s="42">
        <v>1913</v>
      </c>
      <c r="G275" s="42">
        <v>637</v>
      </c>
      <c r="H275" s="163">
        <v>234</v>
      </c>
    </row>
    <row r="276" spans="1:8" ht="13.5" customHeight="1">
      <c r="A276" s="9" t="s">
        <v>30</v>
      </c>
      <c r="B276" s="42">
        <v>12680</v>
      </c>
      <c r="C276" s="42">
        <v>2243</v>
      </c>
      <c r="D276" s="42">
        <v>3369</v>
      </c>
      <c r="E276" s="42">
        <v>4149</v>
      </c>
      <c r="F276" s="42">
        <v>2058</v>
      </c>
      <c r="G276" s="42">
        <v>596</v>
      </c>
      <c r="H276" s="42">
        <v>265</v>
      </c>
    </row>
    <row r="277" spans="1:8" ht="13.5" customHeight="1">
      <c r="A277" s="106" t="s">
        <v>41</v>
      </c>
      <c r="B277" s="105"/>
      <c r="C277" s="105"/>
      <c r="D277" s="105"/>
      <c r="E277" s="105"/>
      <c r="F277" s="105"/>
      <c r="G277" s="105"/>
      <c r="H277" s="105"/>
    </row>
    <row r="278" spans="1:8" ht="13.5" customHeight="1">
      <c r="A278" s="10" t="s">
        <v>97</v>
      </c>
      <c r="B278" s="42">
        <v>11399</v>
      </c>
      <c r="C278" s="42">
        <v>10170</v>
      </c>
      <c r="D278" s="42">
        <v>1207</v>
      </c>
      <c r="E278" s="42">
        <v>19</v>
      </c>
      <c r="F278" s="42">
        <v>2</v>
      </c>
      <c r="G278" s="42">
        <v>1</v>
      </c>
      <c r="H278" s="42">
        <v>0</v>
      </c>
    </row>
    <row r="279" spans="1:8" ht="13.5" customHeight="1">
      <c r="A279" s="10" t="s">
        <v>59</v>
      </c>
      <c r="B279" s="42">
        <v>18938</v>
      </c>
      <c r="C279" s="42">
        <v>1594</v>
      </c>
      <c r="D279" s="42">
        <v>15188</v>
      </c>
      <c r="E279" s="42">
        <v>2118</v>
      </c>
      <c r="F279" s="42">
        <v>33</v>
      </c>
      <c r="G279" s="42">
        <v>4</v>
      </c>
      <c r="H279" s="42">
        <v>1</v>
      </c>
    </row>
    <row r="280" spans="1:8" ht="13.5" customHeight="1">
      <c r="A280" s="10" t="s">
        <v>60</v>
      </c>
      <c r="B280" s="42">
        <v>22739</v>
      </c>
      <c r="C280" s="42">
        <v>111</v>
      </c>
      <c r="D280" s="42">
        <v>4722</v>
      </c>
      <c r="E280" s="42">
        <v>16342</v>
      </c>
      <c r="F280" s="42">
        <v>1509</v>
      </c>
      <c r="G280" s="42">
        <v>48</v>
      </c>
      <c r="H280" s="42">
        <v>7</v>
      </c>
    </row>
    <row r="281" spans="1:8" ht="13.5" customHeight="1">
      <c r="A281" s="10" t="s">
        <v>61</v>
      </c>
      <c r="B281" s="42">
        <v>12856</v>
      </c>
      <c r="C281" s="42">
        <v>40</v>
      </c>
      <c r="D281" s="42">
        <v>309</v>
      </c>
      <c r="E281" s="42">
        <v>6021</v>
      </c>
      <c r="F281" s="42">
        <v>6046</v>
      </c>
      <c r="G281" s="42">
        <v>414</v>
      </c>
      <c r="H281" s="42">
        <v>26</v>
      </c>
    </row>
    <row r="282" spans="1:8" ht="13.5" customHeight="1">
      <c r="A282" s="10" t="s">
        <v>62</v>
      </c>
      <c r="B282" s="42">
        <v>6533</v>
      </c>
      <c r="C282" s="42">
        <v>18</v>
      </c>
      <c r="D282" s="42">
        <v>57</v>
      </c>
      <c r="E282" s="42">
        <v>674</v>
      </c>
      <c r="F282" s="42">
        <v>4034</v>
      </c>
      <c r="G282" s="42">
        <v>1616</v>
      </c>
      <c r="H282" s="42">
        <v>134</v>
      </c>
    </row>
    <row r="283" spans="1:8" ht="13.5" customHeight="1">
      <c r="A283" s="10" t="s">
        <v>63</v>
      </c>
      <c r="B283" s="42">
        <v>4343</v>
      </c>
      <c r="C283" s="42">
        <v>14</v>
      </c>
      <c r="D283" s="42">
        <v>20</v>
      </c>
      <c r="E283" s="42">
        <v>198</v>
      </c>
      <c r="F283" s="42">
        <v>1136</v>
      </c>
      <c r="G283" s="42">
        <v>2063</v>
      </c>
      <c r="H283" s="42">
        <v>912</v>
      </c>
    </row>
    <row r="284" spans="1:8" ht="13.5" customHeight="1">
      <c r="A284" s="10" t="s">
        <v>96</v>
      </c>
      <c r="B284" s="42">
        <v>2274</v>
      </c>
      <c r="C284" s="42">
        <v>7</v>
      </c>
      <c r="D284" s="42">
        <v>5</v>
      </c>
      <c r="E284" s="42">
        <v>29</v>
      </c>
      <c r="F284" s="42">
        <v>161</v>
      </c>
      <c r="G284" s="42">
        <v>557</v>
      </c>
      <c r="H284" s="42">
        <v>1515</v>
      </c>
    </row>
    <row r="285" spans="1:8" ht="13.5" customHeight="1">
      <c r="A285" s="10"/>
      <c r="B285" s="42"/>
      <c r="C285" s="42"/>
      <c r="D285" s="42"/>
      <c r="E285" s="42"/>
      <c r="F285" s="42"/>
      <c r="G285" s="42"/>
      <c r="H285" s="42"/>
    </row>
    <row r="286" spans="1:8" ht="13.5" customHeight="1">
      <c r="A286" s="9" t="s">
        <v>84</v>
      </c>
      <c r="B286" s="161"/>
      <c r="C286" s="161"/>
      <c r="D286" s="161"/>
      <c r="E286" s="161"/>
      <c r="F286" s="161"/>
      <c r="G286" s="161"/>
      <c r="H286" s="161"/>
    </row>
    <row r="287" spans="1:8" ht="13.5" customHeight="1">
      <c r="A287" s="161"/>
      <c r="B287" s="161"/>
      <c r="C287" s="161"/>
      <c r="D287" s="161"/>
      <c r="E287" s="161"/>
      <c r="F287" s="161"/>
      <c r="G287" s="161"/>
      <c r="H287" s="161"/>
    </row>
    <row r="288" spans="1:8" ht="13.5" customHeight="1">
      <c r="A288" s="46" t="s">
        <v>113</v>
      </c>
      <c r="B288" s="161"/>
      <c r="C288" s="161"/>
      <c r="D288" s="161"/>
      <c r="E288" s="161"/>
      <c r="F288" s="161"/>
      <c r="G288" s="161"/>
      <c r="H288" s="161"/>
    </row>
    <row r="289" spans="1:12" ht="13.5" customHeight="1">
      <c r="A289" s="46"/>
      <c r="B289" s="161"/>
      <c r="C289" s="161"/>
      <c r="D289" s="161"/>
      <c r="E289" s="161"/>
      <c r="F289" s="161"/>
      <c r="G289" s="161"/>
      <c r="H289" s="161"/>
    </row>
    <row r="290" spans="1:12" s="113" customFormat="1" ht="13.5" customHeight="1">
      <c r="A290" s="46"/>
      <c r="B290" s="161"/>
      <c r="C290" s="161"/>
      <c r="D290" s="161"/>
      <c r="E290" s="161"/>
      <c r="F290" s="161"/>
      <c r="G290" s="161"/>
      <c r="H290" s="161"/>
      <c r="I290" s="12"/>
      <c r="J290" s="12"/>
      <c r="K290" s="12"/>
      <c r="L290" s="12"/>
    </row>
    <row r="291" spans="1:12" ht="13.5" customHeight="1">
      <c r="A291" s="90" t="s">
        <v>123</v>
      </c>
      <c r="B291" s="161"/>
      <c r="C291" s="161"/>
      <c r="D291" s="161"/>
      <c r="E291" s="161"/>
      <c r="F291" s="161"/>
      <c r="G291" s="161"/>
      <c r="H291" s="161"/>
    </row>
    <row r="292" spans="1:12" ht="13.5" customHeight="1">
      <c r="A292" s="41" t="s">
        <v>1</v>
      </c>
      <c r="B292" s="161"/>
      <c r="C292" s="161"/>
      <c r="D292" s="161"/>
      <c r="E292" s="161"/>
      <c r="F292" s="161"/>
      <c r="G292" s="161"/>
      <c r="H292" s="161"/>
      <c r="L292" s="7"/>
    </row>
    <row r="293" spans="1:12" ht="13.5" customHeight="1">
      <c r="A293" s="161"/>
      <c r="B293" s="161"/>
      <c r="C293" s="161"/>
      <c r="D293" s="161"/>
      <c r="E293" s="161"/>
      <c r="F293" s="161"/>
      <c r="G293" s="161"/>
      <c r="H293" s="161"/>
    </row>
    <row r="294" spans="1:12" ht="13.5" customHeight="1">
      <c r="A294" s="101"/>
      <c r="B294" s="101"/>
      <c r="C294" s="103"/>
      <c r="D294" s="103"/>
      <c r="E294" s="103"/>
      <c r="F294" s="103"/>
      <c r="G294" s="103"/>
      <c r="H294" s="104" t="s">
        <v>42</v>
      </c>
      <c r="J294" s="170" t="s">
        <v>126</v>
      </c>
    </row>
    <row r="295" spans="1:12" ht="13.5" customHeight="1">
      <c r="A295" s="102"/>
      <c r="B295" s="100" t="s">
        <v>2</v>
      </c>
      <c r="C295" s="100">
        <v>1</v>
      </c>
      <c r="D295" s="100">
        <v>2</v>
      </c>
      <c r="E295" s="100">
        <v>3</v>
      </c>
      <c r="F295" s="100">
        <v>4</v>
      </c>
      <c r="G295" s="100">
        <v>5</v>
      </c>
      <c r="H295" s="100" t="s">
        <v>66</v>
      </c>
    </row>
    <row r="296" spans="1:12" ht="13.5" customHeight="1">
      <c r="A296" s="37" t="s">
        <v>2</v>
      </c>
      <c r="B296" s="36">
        <v>78257</v>
      </c>
      <c r="C296" s="36">
        <v>11889</v>
      </c>
      <c r="D296" s="36">
        <v>21291</v>
      </c>
      <c r="E296" s="36">
        <v>25065</v>
      </c>
      <c r="F296" s="36">
        <v>12725</v>
      </c>
      <c r="G296" s="36">
        <v>4685</v>
      </c>
      <c r="H296" s="36">
        <v>2602</v>
      </c>
    </row>
    <row r="297" spans="1:12" ht="13.5" customHeight="1">
      <c r="A297" s="37" t="s">
        <v>5</v>
      </c>
      <c r="B297" s="105"/>
      <c r="C297" s="105"/>
      <c r="D297" s="105"/>
      <c r="E297" s="105"/>
      <c r="F297" s="105"/>
      <c r="G297" s="105"/>
      <c r="H297" s="105"/>
    </row>
    <row r="298" spans="1:12" ht="13.5" customHeight="1">
      <c r="A298" s="9" t="s">
        <v>6</v>
      </c>
      <c r="B298" s="42">
        <v>2194</v>
      </c>
      <c r="C298" s="42">
        <v>14</v>
      </c>
      <c r="D298" s="42">
        <v>42</v>
      </c>
      <c r="E298" s="42">
        <v>169</v>
      </c>
      <c r="F298" s="42">
        <v>426</v>
      </c>
      <c r="G298" s="42">
        <v>715</v>
      </c>
      <c r="H298" s="42">
        <v>828</v>
      </c>
    </row>
    <row r="299" spans="1:12" ht="13.5" customHeight="1">
      <c r="A299" s="9" t="s">
        <v>7</v>
      </c>
      <c r="B299" s="42">
        <v>46571</v>
      </c>
      <c r="C299" s="42">
        <v>6181</v>
      </c>
      <c r="D299" s="42">
        <v>13109</v>
      </c>
      <c r="E299" s="42">
        <v>15732</v>
      </c>
      <c r="F299" s="42">
        <v>7937</v>
      </c>
      <c r="G299" s="42">
        <v>2565</v>
      </c>
      <c r="H299" s="42">
        <v>1047</v>
      </c>
    </row>
    <row r="300" spans="1:12" ht="13.5" customHeight="1">
      <c r="A300" s="10" t="s">
        <v>8</v>
      </c>
      <c r="B300" s="42">
        <v>28240</v>
      </c>
      <c r="C300" s="42">
        <v>5267</v>
      </c>
      <c r="D300" s="42">
        <v>7920</v>
      </c>
      <c r="E300" s="42">
        <v>8922</v>
      </c>
      <c r="F300" s="42">
        <v>4154</v>
      </c>
      <c r="G300" s="42">
        <v>1318</v>
      </c>
      <c r="H300" s="42">
        <v>659</v>
      </c>
    </row>
    <row r="301" spans="1:12" ht="13.5" customHeight="1">
      <c r="A301" s="10" t="s">
        <v>65</v>
      </c>
      <c r="B301" s="42">
        <v>1252</v>
      </c>
      <c r="C301" s="42">
        <v>427</v>
      </c>
      <c r="D301" s="42">
        <v>220</v>
      </c>
      <c r="E301" s="42">
        <v>242</v>
      </c>
      <c r="F301" s="42">
        <v>208</v>
      </c>
      <c r="G301" s="42">
        <v>87</v>
      </c>
      <c r="H301" s="42">
        <v>68</v>
      </c>
    </row>
    <row r="302" spans="1:12" ht="13.5" customHeight="1">
      <c r="A302" s="106" t="s">
        <v>39</v>
      </c>
      <c r="B302" s="105"/>
      <c r="C302" s="105"/>
      <c r="D302" s="105"/>
      <c r="E302" s="105"/>
      <c r="F302" s="105"/>
      <c r="G302" s="105"/>
      <c r="H302" s="105"/>
    </row>
    <row r="303" spans="1:12" ht="13.5" customHeight="1">
      <c r="A303" s="9" t="s">
        <v>10</v>
      </c>
      <c r="B303" s="42">
        <v>12573</v>
      </c>
      <c r="C303" s="42">
        <v>1660</v>
      </c>
      <c r="D303" s="42">
        <v>2672</v>
      </c>
      <c r="E303" s="42">
        <v>3905</v>
      </c>
      <c r="F303" s="42">
        <v>2185</v>
      </c>
      <c r="G303" s="42">
        <v>1236</v>
      </c>
      <c r="H303" s="42">
        <v>915</v>
      </c>
    </row>
    <row r="304" spans="1:12" ht="13.5" customHeight="1">
      <c r="A304" s="9" t="s">
        <v>11</v>
      </c>
      <c r="B304" s="42">
        <v>14644</v>
      </c>
      <c r="C304" s="42">
        <v>2084</v>
      </c>
      <c r="D304" s="42">
        <v>4853</v>
      </c>
      <c r="E304" s="42">
        <v>4725</v>
      </c>
      <c r="F304" s="42">
        <v>1656</v>
      </c>
      <c r="G304" s="42">
        <v>792</v>
      </c>
      <c r="H304" s="42">
        <v>534</v>
      </c>
    </row>
    <row r="305" spans="1:8" ht="13.5" customHeight="1">
      <c r="A305" s="9" t="s">
        <v>12</v>
      </c>
      <c r="B305" s="42">
        <v>17954</v>
      </c>
      <c r="C305" s="42">
        <v>2654</v>
      </c>
      <c r="D305" s="42">
        <v>6785</v>
      </c>
      <c r="E305" s="42">
        <v>5897</v>
      </c>
      <c r="F305" s="42">
        <v>1749</v>
      </c>
      <c r="G305" s="42">
        <v>551</v>
      </c>
      <c r="H305" s="42">
        <v>318</v>
      </c>
    </row>
    <row r="306" spans="1:8" ht="13.5" customHeight="1">
      <c r="A306" s="9" t="s">
        <v>13</v>
      </c>
      <c r="B306" s="42">
        <v>13822</v>
      </c>
      <c r="C306" s="42">
        <v>3162</v>
      </c>
      <c r="D306" s="42">
        <v>3262</v>
      </c>
      <c r="E306" s="42">
        <v>4605</v>
      </c>
      <c r="F306" s="42">
        <v>1898</v>
      </c>
      <c r="G306" s="42">
        <v>526</v>
      </c>
      <c r="H306" s="42">
        <v>369</v>
      </c>
    </row>
    <row r="307" spans="1:8" ht="13.5" customHeight="1">
      <c r="A307" s="9" t="s">
        <v>14</v>
      </c>
      <c r="B307" s="42">
        <v>5913</v>
      </c>
      <c r="C307" s="42">
        <v>1225</v>
      </c>
      <c r="D307" s="42">
        <v>1080</v>
      </c>
      <c r="E307" s="42">
        <v>1846</v>
      </c>
      <c r="F307" s="42">
        <v>1242</v>
      </c>
      <c r="G307" s="42">
        <v>410</v>
      </c>
      <c r="H307" s="42">
        <v>110</v>
      </c>
    </row>
    <row r="308" spans="1:8" ht="13.5" customHeight="1">
      <c r="A308" s="9" t="s">
        <v>15</v>
      </c>
      <c r="B308" s="42">
        <v>1827</v>
      </c>
      <c r="C308" s="42">
        <v>69</v>
      </c>
      <c r="D308" s="42">
        <v>299</v>
      </c>
      <c r="E308" s="42">
        <v>521</v>
      </c>
      <c r="F308" s="42">
        <v>656</v>
      </c>
      <c r="G308" s="42">
        <v>213</v>
      </c>
      <c r="H308" s="42">
        <v>69</v>
      </c>
    </row>
    <row r="309" spans="1:8" ht="13.5" customHeight="1">
      <c r="A309" s="9" t="s">
        <v>16</v>
      </c>
      <c r="B309" s="42">
        <v>1763</v>
      </c>
      <c r="C309" s="42">
        <v>123</v>
      </c>
      <c r="D309" s="42">
        <v>368</v>
      </c>
      <c r="E309" s="42">
        <v>531</v>
      </c>
      <c r="F309" s="42">
        <v>512</v>
      </c>
      <c r="G309" s="42">
        <v>183</v>
      </c>
      <c r="H309" s="42">
        <v>46</v>
      </c>
    </row>
    <row r="310" spans="1:8" ht="13.5" customHeight="1">
      <c r="A310" s="9" t="s">
        <v>17</v>
      </c>
      <c r="B310" s="42">
        <v>1014</v>
      </c>
      <c r="C310" s="42">
        <v>196</v>
      </c>
      <c r="D310" s="42">
        <v>224</v>
      </c>
      <c r="E310" s="42">
        <v>306</v>
      </c>
      <c r="F310" s="42">
        <v>162</v>
      </c>
      <c r="G310" s="42">
        <v>102</v>
      </c>
      <c r="H310" s="42">
        <v>24</v>
      </c>
    </row>
    <row r="311" spans="1:8" ht="13.5" customHeight="1">
      <c r="A311" s="9" t="s">
        <v>18</v>
      </c>
      <c r="B311" s="42">
        <v>967</v>
      </c>
      <c r="C311" s="42">
        <v>17</v>
      </c>
      <c r="D311" s="42">
        <v>120</v>
      </c>
      <c r="E311" s="42">
        <v>353</v>
      </c>
      <c r="F311" s="42">
        <v>315</v>
      </c>
      <c r="G311" s="42">
        <v>111</v>
      </c>
      <c r="H311" s="42">
        <v>51</v>
      </c>
    </row>
    <row r="312" spans="1:8" ht="13.5" customHeight="1">
      <c r="A312" s="9" t="s">
        <v>19</v>
      </c>
      <c r="B312" s="42">
        <v>995</v>
      </c>
      <c r="C312" s="42">
        <v>36</v>
      </c>
      <c r="D312" s="42">
        <v>85</v>
      </c>
      <c r="E312" s="42">
        <v>227</v>
      </c>
      <c r="F312" s="42">
        <v>433</v>
      </c>
      <c r="G312" s="42">
        <v>166</v>
      </c>
      <c r="H312" s="42">
        <v>48</v>
      </c>
    </row>
    <row r="313" spans="1:8" ht="13.5" customHeight="1">
      <c r="A313" s="9" t="s">
        <v>20</v>
      </c>
      <c r="B313" s="42">
        <v>2222</v>
      </c>
      <c r="C313" s="42">
        <v>120</v>
      </c>
      <c r="D313" s="42">
        <v>353</v>
      </c>
      <c r="E313" s="42">
        <v>604</v>
      </c>
      <c r="F313" s="42">
        <v>854</v>
      </c>
      <c r="G313" s="42">
        <v>212</v>
      </c>
      <c r="H313" s="42">
        <v>79</v>
      </c>
    </row>
    <row r="314" spans="1:8" ht="13.5" customHeight="1">
      <c r="A314" s="9" t="s">
        <v>21</v>
      </c>
      <c r="B314" s="42">
        <v>2307</v>
      </c>
      <c r="C314" s="42">
        <v>264</v>
      </c>
      <c r="D314" s="42">
        <v>567</v>
      </c>
      <c r="E314" s="42">
        <v>783</v>
      </c>
      <c r="F314" s="42">
        <v>550</v>
      </c>
      <c r="G314" s="42">
        <v>110</v>
      </c>
      <c r="H314" s="42">
        <v>33</v>
      </c>
    </row>
    <row r="315" spans="1:8" ht="13.5" customHeight="1">
      <c r="A315" s="9" t="s">
        <v>112</v>
      </c>
      <c r="B315" s="42">
        <v>2256</v>
      </c>
      <c r="C315" s="42">
        <v>279</v>
      </c>
      <c r="D315" s="42">
        <v>623</v>
      </c>
      <c r="E315" s="42">
        <v>762</v>
      </c>
      <c r="F315" s="42">
        <v>513</v>
      </c>
      <c r="G315" s="42">
        <v>73</v>
      </c>
      <c r="H315" s="42">
        <v>6</v>
      </c>
    </row>
    <row r="316" spans="1:8" ht="13.5" customHeight="1">
      <c r="A316" s="106" t="s">
        <v>40</v>
      </c>
      <c r="B316" s="105"/>
      <c r="C316" s="105"/>
      <c r="D316" s="105"/>
      <c r="E316" s="105"/>
      <c r="F316" s="105"/>
      <c r="G316" s="105"/>
      <c r="H316" s="105"/>
    </row>
    <row r="317" spans="1:8" ht="13.5" customHeight="1">
      <c r="A317" s="9" t="s">
        <v>23</v>
      </c>
      <c r="B317" s="42">
        <v>157</v>
      </c>
      <c r="C317" s="42">
        <v>58</v>
      </c>
      <c r="D317" s="42">
        <v>20</v>
      </c>
      <c r="E317" s="42">
        <v>33</v>
      </c>
      <c r="F317" s="42">
        <v>23</v>
      </c>
      <c r="G317" s="42">
        <v>13</v>
      </c>
      <c r="H317" s="163">
        <v>10</v>
      </c>
    </row>
    <row r="318" spans="1:8" ht="13.5" customHeight="1">
      <c r="A318" s="9" t="s">
        <v>24</v>
      </c>
      <c r="B318" s="42">
        <v>1933</v>
      </c>
      <c r="C318" s="42">
        <v>250</v>
      </c>
      <c r="D318" s="42">
        <v>152</v>
      </c>
      <c r="E318" s="42">
        <v>305</v>
      </c>
      <c r="F318" s="42">
        <v>438</v>
      </c>
      <c r="G318" s="42">
        <v>452</v>
      </c>
      <c r="H318" s="163">
        <v>336</v>
      </c>
    </row>
    <row r="319" spans="1:8" ht="13.5" customHeight="1">
      <c r="A319" s="9" t="s">
        <v>25</v>
      </c>
      <c r="B319" s="42">
        <v>4718</v>
      </c>
      <c r="C319" s="42">
        <v>333</v>
      </c>
      <c r="D319" s="42">
        <v>661</v>
      </c>
      <c r="E319" s="42">
        <v>1187</v>
      </c>
      <c r="F319" s="42">
        <v>1130</v>
      </c>
      <c r="G319" s="42">
        <v>681</v>
      </c>
      <c r="H319" s="163">
        <v>726</v>
      </c>
    </row>
    <row r="320" spans="1:8" ht="13.5" customHeight="1">
      <c r="A320" s="9" t="s">
        <v>26</v>
      </c>
      <c r="B320" s="42">
        <v>11519</v>
      </c>
      <c r="C320" s="42">
        <v>1305</v>
      </c>
      <c r="D320" s="42">
        <v>3169</v>
      </c>
      <c r="E320" s="42">
        <v>4179</v>
      </c>
      <c r="F320" s="42">
        <v>1891</v>
      </c>
      <c r="G320" s="42">
        <v>638</v>
      </c>
      <c r="H320" s="163">
        <v>337</v>
      </c>
    </row>
    <row r="321" spans="1:8" ht="13.5" customHeight="1">
      <c r="A321" s="9" t="s">
        <v>27</v>
      </c>
      <c r="B321" s="42">
        <v>19969</v>
      </c>
      <c r="C321" s="42">
        <v>2754</v>
      </c>
      <c r="D321" s="42">
        <v>6106</v>
      </c>
      <c r="E321" s="42">
        <v>6743</v>
      </c>
      <c r="F321" s="42">
        <v>3013</v>
      </c>
      <c r="G321" s="42">
        <v>997</v>
      </c>
      <c r="H321" s="163">
        <v>356</v>
      </c>
    </row>
    <row r="322" spans="1:8" ht="13.5" customHeight="1">
      <c r="A322" s="9" t="s">
        <v>28</v>
      </c>
      <c r="B322" s="42">
        <v>15816</v>
      </c>
      <c r="C322" s="42">
        <v>2861</v>
      </c>
      <c r="D322" s="42">
        <v>4598</v>
      </c>
      <c r="E322" s="42">
        <v>4991</v>
      </c>
      <c r="F322" s="42">
        <v>2340</v>
      </c>
      <c r="G322" s="42">
        <v>692</v>
      </c>
      <c r="H322" s="163">
        <v>334</v>
      </c>
    </row>
    <row r="323" spans="1:8" ht="13.5" customHeight="1">
      <c r="A323" s="9" t="s">
        <v>29</v>
      </c>
      <c r="B323" s="42">
        <v>11783</v>
      </c>
      <c r="C323" s="42">
        <v>2093</v>
      </c>
      <c r="D323" s="42">
        <v>3308</v>
      </c>
      <c r="E323" s="42">
        <v>3635</v>
      </c>
      <c r="F323" s="42">
        <v>1891</v>
      </c>
      <c r="G323" s="42">
        <v>623</v>
      </c>
      <c r="H323" s="163">
        <v>233</v>
      </c>
    </row>
    <row r="324" spans="1:8" ht="13.5" customHeight="1">
      <c r="A324" s="9" t="s">
        <v>30</v>
      </c>
      <c r="B324" s="42">
        <v>12362</v>
      </c>
      <c r="C324" s="42">
        <v>2235</v>
      </c>
      <c r="D324" s="42">
        <v>3277</v>
      </c>
      <c r="E324" s="42">
        <v>3992</v>
      </c>
      <c r="F324" s="42">
        <v>1999</v>
      </c>
      <c r="G324" s="42">
        <v>589</v>
      </c>
      <c r="H324" s="42">
        <v>270</v>
      </c>
    </row>
    <row r="325" spans="1:8" ht="13.5" customHeight="1">
      <c r="A325" s="106" t="s">
        <v>41</v>
      </c>
      <c r="B325" s="105"/>
      <c r="C325" s="105"/>
      <c r="D325" s="105"/>
      <c r="E325" s="105"/>
      <c r="F325" s="105"/>
      <c r="G325" s="105"/>
      <c r="H325" s="105"/>
    </row>
    <row r="326" spans="1:8" ht="13.5" customHeight="1">
      <c r="A326" s="10" t="s">
        <v>97</v>
      </c>
      <c r="B326" s="42">
        <v>11328</v>
      </c>
      <c r="C326" s="42">
        <v>10120</v>
      </c>
      <c r="D326" s="42">
        <v>1187</v>
      </c>
      <c r="E326" s="42">
        <v>20</v>
      </c>
      <c r="F326" s="42">
        <v>1</v>
      </c>
      <c r="G326" s="42">
        <v>0</v>
      </c>
      <c r="H326" s="42">
        <v>0</v>
      </c>
    </row>
    <row r="327" spans="1:8" ht="13.5" customHeight="1">
      <c r="A327" s="10" t="s">
        <v>59</v>
      </c>
      <c r="B327" s="42">
        <v>18766</v>
      </c>
      <c r="C327" s="42">
        <v>1578</v>
      </c>
      <c r="D327" s="42">
        <v>15008</v>
      </c>
      <c r="E327" s="42">
        <v>2139</v>
      </c>
      <c r="F327" s="42">
        <v>34</v>
      </c>
      <c r="G327" s="42">
        <v>6</v>
      </c>
      <c r="H327" s="42">
        <v>1</v>
      </c>
    </row>
    <row r="328" spans="1:8" ht="13.5" customHeight="1">
      <c r="A328" s="10" t="s">
        <v>60</v>
      </c>
      <c r="B328" s="42">
        <v>22440</v>
      </c>
      <c r="C328" s="42">
        <v>108</v>
      </c>
      <c r="D328" s="42">
        <v>4707</v>
      </c>
      <c r="E328" s="42">
        <v>16064</v>
      </c>
      <c r="F328" s="42">
        <v>1503</v>
      </c>
      <c r="G328" s="42">
        <v>53</v>
      </c>
      <c r="H328" s="42">
        <v>5</v>
      </c>
    </row>
    <row r="329" spans="1:8" ht="13.5" customHeight="1">
      <c r="A329" s="10" t="s">
        <v>61</v>
      </c>
      <c r="B329" s="42">
        <v>12620</v>
      </c>
      <c r="C329" s="42">
        <v>38</v>
      </c>
      <c r="D329" s="42">
        <v>306</v>
      </c>
      <c r="E329" s="42">
        <v>5950</v>
      </c>
      <c r="F329" s="42">
        <v>5889</v>
      </c>
      <c r="G329" s="42">
        <v>408</v>
      </c>
      <c r="H329" s="42">
        <v>29</v>
      </c>
    </row>
    <row r="330" spans="1:8" ht="13.5" customHeight="1">
      <c r="A330" s="10" t="s">
        <v>62</v>
      </c>
      <c r="B330" s="42">
        <v>6503</v>
      </c>
      <c r="C330" s="42">
        <v>20</v>
      </c>
      <c r="D330" s="42">
        <v>57</v>
      </c>
      <c r="E330" s="42">
        <v>669</v>
      </c>
      <c r="F330" s="42">
        <v>4027</v>
      </c>
      <c r="G330" s="42">
        <v>1599</v>
      </c>
      <c r="H330" s="42">
        <v>131</v>
      </c>
    </row>
    <row r="331" spans="1:8" ht="13.5" customHeight="1">
      <c r="A331" s="10" t="s">
        <v>63</v>
      </c>
      <c r="B331" s="42">
        <v>4328</v>
      </c>
      <c r="C331" s="42">
        <v>15</v>
      </c>
      <c r="D331" s="42">
        <v>21</v>
      </c>
      <c r="E331" s="42">
        <v>192</v>
      </c>
      <c r="F331" s="42">
        <v>1124</v>
      </c>
      <c r="G331" s="42">
        <v>2068</v>
      </c>
      <c r="H331" s="42">
        <v>908</v>
      </c>
    </row>
    <row r="332" spans="1:8" ht="13.5" customHeight="1">
      <c r="A332" s="10" t="s">
        <v>96</v>
      </c>
      <c r="B332" s="42">
        <v>2272</v>
      </c>
      <c r="C332" s="42">
        <v>10</v>
      </c>
      <c r="D332" s="42">
        <v>5</v>
      </c>
      <c r="E332" s="42">
        <v>31</v>
      </c>
      <c r="F332" s="42">
        <v>147</v>
      </c>
      <c r="G332" s="42">
        <v>551</v>
      </c>
      <c r="H332" s="42">
        <v>1528</v>
      </c>
    </row>
    <row r="333" spans="1:8" ht="13.5" customHeight="1">
      <c r="A333" s="10"/>
      <c r="B333" s="42"/>
      <c r="C333" s="42"/>
      <c r="D333" s="42"/>
      <c r="E333" s="42"/>
      <c r="F333" s="42"/>
      <c r="G333" s="42"/>
      <c r="H333" s="42"/>
    </row>
    <row r="334" spans="1:8" ht="13.5" customHeight="1">
      <c r="A334" s="9" t="s">
        <v>84</v>
      </c>
      <c r="B334" s="161"/>
      <c r="C334" s="161"/>
      <c r="D334" s="161"/>
      <c r="E334" s="161"/>
      <c r="F334" s="161"/>
      <c r="G334" s="161"/>
      <c r="H334" s="161"/>
    </row>
    <row r="335" spans="1:8" ht="13.5" customHeight="1">
      <c r="A335" s="46"/>
      <c r="B335" s="161"/>
      <c r="C335" s="161"/>
      <c r="D335" s="161"/>
      <c r="E335" s="161"/>
      <c r="F335" s="161"/>
      <c r="G335" s="161"/>
      <c r="H335" s="161"/>
    </row>
    <row r="336" spans="1:8" ht="13.5" customHeight="1">
      <c r="A336" s="46"/>
      <c r="B336" s="161"/>
      <c r="C336" s="161"/>
      <c r="D336" s="161"/>
      <c r="E336" s="161"/>
      <c r="F336" s="161"/>
      <c r="G336" s="161"/>
      <c r="H336" s="161"/>
    </row>
    <row r="337" spans="1:12" ht="13.5" customHeight="1">
      <c r="A337" s="90" t="s">
        <v>119</v>
      </c>
      <c r="B337" s="161"/>
      <c r="C337" s="161"/>
      <c r="D337" s="161"/>
      <c r="E337" s="161"/>
      <c r="F337" s="161"/>
      <c r="G337" s="161"/>
      <c r="H337" s="161"/>
    </row>
    <row r="338" spans="1:12" ht="13.5" customHeight="1">
      <c r="A338" s="41" t="s">
        <v>1</v>
      </c>
      <c r="B338" s="161"/>
      <c r="C338" s="161"/>
      <c r="D338" s="161"/>
      <c r="E338" s="161"/>
      <c r="F338" s="161"/>
      <c r="G338" s="161"/>
      <c r="H338" s="161"/>
    </row>
    <row r="339" spans="1:12" ht="13.5" customHeight="1">
      <c r="A339" s="161"/>
      <c r="B339" s="161"/>
      <c r="C339" s="161"/>
      <c r="D339" s="161"/>
      <c r="E339" s="161"/>
      <c r="F339" s="161"/>
      <c r="G339" s="161"/>
      <c r="H339" s="161"/>
      <c r="L339" s="113"/>
    </row>
    <row r="340" spans="1:12" ht="13.5" customHeight="1">
      <c r="A340" s="101"/>
      <c r="B340" s="101"/>
      <c r="C340" s="103"/>
      <c r="D340" s="103"/>
      <c r="E340" s="103"/>
      <c r="F340" s="103"/>
      <c r="G340" s="103"/>
      <c r="H340" s="104" t="s">
        <v>42</v>
      </c>
      <c r="J340" s="170" t="s">
        <v>126</v>
      </c>
    </row>
    <row r="341" spans="1:12" ht="13.5" customHeight="1">
      <c r="A341" s="102"/>
      <c r="B341" s="100" t="s">
        <v>2</v>
      </c>
      <c r="C341" s="100">
        <v>1</v>
      </c>
      <c r="D341" s="100">
        <v>2</v>
      </c>
      <c r="E341" s="100">
        <v>3</v>
      </c>
      <c r="F341" s="100">
        <v>4</v>
      </c>
      <c r="G341" s="100">
        <v>5</v>
      </c>
      <c r="H341" s="100" t="s">
        <v>66</v>
      </c>
    </row>
    <row r="342" spans="1:12" ht="13.5" customHeight="1">
      <c r="A342" s="37" t="s">
        <v>2</v>
      </c>
      <c r="B342" s="36">
        <v>77533</v>
      </c>
      <c r="C342" s="36">
        <v>11722</v>
      </c>
      <c r="D342" s="36">
        <v>21073</v>
      </c>
      <c r="E342" s="36">
        <v>24829</v>
      </c>
      <c r="F342" s="36">
        <v>12613</v>
      </c>
      <c r="G342" s="36">
        <v>4671</v>
      </c>
      <c r="H342" s="36">
        <v>2625</v>
      </c>
    </row>
    <row r="343" spans="1:12" ht="13.5" customHeight="1">
      <c r="A343" s="37" t="s">
        <v>5</v>
      </c>
      <c r="B343" s="105"/>
      <c r="C343" s="105"/>
      <c r="D343" s="105"/>
      <c r="E343" s="105"/>
      <c r="F343" s="105"/>
      <c r="G343" s="105"/>
      <c r="H343" s="105"/>
    </row>
    <row r="344" spans="1:12" ht="13.5" customHeight="1">
      <c r="A344" s="9" t="s">
        <v>6</v>
      </c>
      <c r="B344" s="42">
        <v>2207</v>
      </c>
      <c r="C344" s="42">
        <v>11</v>
      </c>
      <c r="D344" s="42">
        <v>43</v>
      </c>
      <c r="E344" s="42">
        <v>171</v>
      </c>
      <c r="F344" s="42">
        <v>435</v>
      </c>
      <c r="G344" s="42">
        <v>715</v>
      </c>
      <c r="H344" s="42">
        <v>832</v>
      </c>
    </row>
    <row r="345" spans="1:12" ht="13.5" customHeight="1">
      <c r="A345" s="9" t="s">
        <v>7</v>
      </c>
      <c r="B345" s="42">
        <v>46024</v>
      </c>
      <c r="C345" s="42">
        <v>6077</v>
      </c>
      <c r="D345" s="42">
        <v>12909</v>
      </c>
      <c r="E345" s="42">
        <v>15590</v>
      </c>
      <c r="F345" s="42">
        <v>7812</v>
      </c>
      <c r="G345" s="42">
        <v>2569</v>
      </c>
      <c r="H345" s="42">
        <v>1067</v>
      </c>
    </row>
    <row r="346" spans="1:12" ht="13.5" customHeight="1">
      <c r="A346" s="10" t="s">
        <v>8</v>
      </c>
      <c r="B346" s="42">
        <v>28137</v>
      </c>
      <c r="C346" s="42">
        <v>5291</v>
      </c>
      <c r="D346" s="42">
        <v>7894</v>
      </c>
      <c r="E346" s="42">
        <v>8817</v>
      </c>
      <c r="F346" s="42">
        <v>4169</v>
      </c>
      <c r="G346" s="42">
        <v>1308</v>
      </c>
      <c r="H346" s="42">
        <v>658</v>
      </c>
    </row>
    <row r="347" spans="1:12" ht="13.5" customHeight="1">
      <c r="A347" s="10" t="s">
        <v>65</v>
      </c>
      <c r="B347" s="42">
        <v>1165</v>
      </c>
      <c r="C347" s="42">
        <v>343</v>
      </c>
      <c r="D347" s="42">
        <v>227</v>
      </c>
      <c r="E347" s="42">
        <v>251</v>
      </c>
      <c r="F347" s="42">
        <v>197</v>
      </c>
      <c r="G347" s="42">
        <v>79</v>
      </c>
      <c r="H347" s="42">
        <v>68</v>
      </c>
    </row>
    <row r="348" spans="1:12" ht="13.5" customHeight="1">
      <c r="A348" s="106" t="s">
        <v>39</v>
      </c>
      <c r="B348" s="105"/>
      <c r="C348" s="105"/>
      <c r="D348" s="105"/>
      <c r="E348" s="105"/>
      <c r="F348" s="105"/>
      <c r="G348" s="105"/>
      <c r="H348" s="105"/>
    </row>
    <row r="349" spans="1:12" ht="13.5" customHeight="1">
      <c r="A349" s="9" t="s">
        <v>10</v>
      </c>
      <c r="B349" s="42">
        <v>12587</v>
      </c>
      <c r="C349" s="42">
        <v>1665</v>
      </c>
      <c r="D349" s="42">
        <v>2681</v>
      </c>
      <c r="E349" s="42">
        <v>3913</v>
      </c>
      <c r="F349" s="42">
        <v>2173</v>
      </c>
      <c r="G349" s="42">
        <v>1229</v>
      </c>
      <c r="H349" s="42">
        <v>926</v>
      </c>
    </row>
    <row r="350" spans="1:12" ht="13.5" customHeight="1">
      <c r="A350" s="9" t="s">
        <v>11</v>
      </c>
      <c r="B350" s="42">
        <v>14630</v>
      </c>
      <c r="C350" s="42">
        <v>2082</v>
      </c>
      <c r="D350" s="42">
        <v>4831</v>
      </c>
      <c r="E350" s="42">
        <v>4724</v>
      </c>
      <c r="F350" s="42">
        <v>1668</v>
      </c>
      <c r="G350" s="42">
        <v>787</v>
      </c>
      <c r="H350" s="42">
        <v>538</v>
      </c>
    </row>
    <row r="351" spans="1:12" ht="13.5" customHeight="1">
      <c r="A351" s="9" t="s">
        <v>12</v>
      </c>
      <c r="B351" s="42">
        <v>17925</v>
      </c>
      <c r="C351" s="42">
        <v>2637</v>
      </c>
      <c r="D351" s="42">
        <v>6773</v>
      </c>
      <c r="E351" s="42">
        <v>5880</v>
      </c>
      <c r="F351" s="42">
        <v>1752</v>
      </c>
      <c r="G351" s="42">
        <v>559</v>
      </c>
      <c r="H351" s="42">
        <v>324</v>
      </c>
    </row>
    <row r="352" spans="1:12" ht="13.5" customHeight="1">
      <c r="A352" s="9" t="s">
        <v>13</v>
      </c>
      <c r="B352" s="42">
        <v>13813</v>
      </c>
      <c r="C352" s="42">
        <v>3159</v>
      </c>
      <c r="D352" s="42">
        <v>3254</v>
      </c>
      <c r="E352" s="42">
        <v>4600</v>
      </c>
      <c r="F352" s="42">
        <v>1902</v>
      </c>
      <c r="G352" s="42">
        <v>528</v>
      </c>
      <c r="H352" s="42">
        <v>370</v>
      </c>
    </row>
    <row r="353" spans="1:8" ht="13.5" customHeight="1">
      <c r="A353" s="9" t="s">
        <v>14</v>
      </c>
      <c r="B353" s="42">
        <v>5839</v>
      </c>
      <c r="C353" s="42">
        <v>1209</v>
      </c>
      <c r="D353" s="42">
        <v>1053</v>
      </c>
      <c r="E353" s="42">
        <v>1828</v>
      </c>
      <c r="F353" s="42">
        <v>1227</v>
      </c>
      <c r="G353" s="42">
        <v>409</v>
      </c>
      <c r="H353" s="42">
        <v>113</v>
      </c>
    </row>
    <row r="354" spans="1:8" ht="13.5" customHeight="1">
      <c r="A354" s="9" t="s">
        <v>15</v>
      </c>
      <c r="B354" s="42">
        <v>1823</v>
      </c>
      <c r="C354" s="42">
        <v>68</v>
      </c>
      <c r="D354" s="42">
        <v>297</v>
      </c>
      <c r="E354" s="42">
        <v>521</v>
      </c>
      <c r="F354" s="42">
        <v>654</v>
      </c>
      <c r="G354" s="42">
        <v>213</v>
      </c>
      <c r="H354" s="42">
        <v>70</v>
      </c>
    </row>
    <row r="355" spans="1:8" ht="13.5" customHeight="1">
      <c r="A355" s="9" t="s">
        <v>16</v>
      </c>
      <c r="B355" s="42">
        <v>1762</v>
      </c>
      <c r="C355" s="42">
        <v>121</v>
      </c>
      <c r="D355" s="42">
        <v>366</v>
      </c>
      <c r="E355" s="42">
        <v>527</v>
      </c>
      <c r="F355" s="42">
        <v>518</v>
      </c>
      <c r="G355" s="42">
        <v>183</v>
      </c>
      <c r="H355" s="42">
        <v>47</v>
      </c>
    </row>
    <row r="356" spans="1:8" ht="13.5" customHeight="1">
      <c r="A356" s="9" t="s">
        <v>17</v>
      </c>
      <c r="B356" s="42">
        <v>1014</v>
      </c>
      <c r="C356" s="42">
        <v>196</v>
      </c>
      <c r="D356" s="42">
        <v>224</v>
      </c>
      <c r="E356" s="42">
        <v>306</v>
      </c>
      <c r="F356" s="42">
        <v>162</v>
      </c>
      <c r="G356" s="42">
        <v>104</v>
      </c>
      <c r="H356" s="42">
        <v>22</v>
      </c>
    </row>
    <row r="357" spans="1:8" ht="13.5" customHeight="1">
      <c r="A357" s="9" t="s">
        <v>18</v>
      </c>
      <c r="B357" s="42">
        <v>966</v>
      </c>
      <c r="C357" s="42">
        <v>17</v>
      </c>
      <c r="D357" s="42">
        <v>120</v>
      </c>
      <c r="E357" s="42">
        <v>352</v>
      </c>
      <c r="F357" s="42">
        <v>315</v>
      </c>
      <c r="G357" s="42">
        <v>111</v>
      </c>
      <c r="H357" s="42">
        <v>51</v>
      </c>
    </row>
    <row r="358" spans="1:8" ht="13.5" customHeight="1">
      <c r="A358" s="9" t="s">
        <v>19</v>
      </c>
      <c r="B358" s="42">
        <v>995</v>
      </c>
      <c r="C358" s="42">
        <v>36</v>
      </c>
      <c r="D358" s="42">
        <v>85</v>
      </c>
      <c r="E358" s="42">
        <v>227</v>
      </c>
      <c r="F358" s="42">
        <v>433</v>
      </c>
      <c r="G358" s="42">
        <v>166</v>
      </c>
      <c r="H358" s="42">
        <v>48</v>
      </c>
    </row>
    <row r="359" spans="1:8" ht="13.5" customHeight="1">
      <c r="A359" s="9" t="s">
        <v>20</v>
      </c>
      <c r="B359" s="42">
        <v>2221</v>
      </c>
      <c r="C359" s="42">
        <v>118</v>
      </c>
      <c r="D359" s="42">
        <v>353</v>
      </c>
      <c r="E359" s="42">
        <v>604</v>
      </c>
      <c r="F359" s="42">
        <v>854</v>
      </c>
      <c r="G359" s="42">
        <v>213</v>
      </c>
      <c r="H359" s="42">
        <v>79</v>
      </c>
    </row>
    <row r="360" spans="1:8" ht="13.5" customHeight="1">
      <c r="A360" s="9" t="s">
        <v>21</v>
      </c>
      <c r="B360" s="42">
        <v>2295</v>
      </c>
      <c r="C360" s="42">
        <v>252</v>
      </c>
      <c r="D360" s="42">
        <v>568</v>
      </c>
      <c r="E360" s="42">
        <v>782</v>
      </c>
      <c r="F360" s="42">
        <v>550</v>
      </c>
      <c r="G360" s="42">
        <v>110</v>
      </c>
      <c r="H360" s="42">
        <v>33</v>
      </c>
    </row>
    <row r="361" spans="1:8" ht="13.5" customHeight="1">
      <c r="A361" s="9" t="s">
        <v>112</v>
      </c>
      <c r="B361" s="42">
        <v>1663</v>
      </c>
      <c r="C361" s="42">
        <v>162</v>
      </c>
      <c r="D361" s="42">
        <v>468</v>
      </c>
      <c r="E361" s="42">
        <v>565</v>
      </c>
      <c r="F361" s="42">
        <v>405</v>
      </c>
      <c r="G361" s="42">
        <v>59</v>
      </c>
      <c r="H361" s="42">
        <v>4</v>
      </c>
    </row>
    <row r="362" spans="1:8" ht="13.5" customHeight="1">
      <c r="A362" s="106" t="s">
        <v>40</v>
      </c>
      <c r="B362" s="105"/>
      <c r="C362" s="105"/>
      <c r="D362" s="105"/>
      <c r="E362" s="105"/>
      <c r="F362" s="105"/>
      <c r="G362" s="105"/>
      <c r="H362" s="105"/>
    </row>
    <row r="363" spans="1:8" ht="13.5" customHeight="1">
      <c r="A363" s="9" t="s">
        <v>23</v>
      </c>
      <c r="B363" s="42">
        <v>154</v>
      </c>
      <c r="C363" s="42">
        <v>56</v>
      </c>
      <c r="D363" s="42">
        <v>19</v>
      </c>
      <c r="E363" s="42">
        <v>31</v>
      </c>
      <c r="F363" s="42">
        <v>25</v>
      </c>
      <c r="G363" s="42">
        <v>13</v>
      </c>
      <c r="H363" s="163">
        <v>10</v>
      </c>
    </row>
    <row r="364" spans="1:8" ht="13.5" customHeight="1">
      <c r="A364" s="9" t="s">
        <v>24</v>
      </c>
      <c r="B364" s="42">
        <v>1912</v>
      </c>
      <c r="C364" s="42">
        <v>239</v>
      </c>
      <c r="D364" s="42">
        <v>150</v>
      </c>
      <c r="E364" s="42">
        <v>293</v>
      </c>
      <c r="F364" s="42">
        <v>442</v>
      </c>
      <c r="G364" s="42">
        <v>450</v>
      </c>
      <c r="H364" s="163">
        <v>338</v>
      </c>
    </row>
    <row r="365" spans="1:8" ht="13.5" customHeight="1">
      <c r="A365" s="9" t="s">
        <v>25</v>
      </c>
      <c r="B365" s="42">
        <v>4656</v>
      </c>
      <c r="C365" s="42">
        <v>331</v>
      </c>
      <c r="D365" s="42">
        <v>649</v>
      </c>
      <c r="E365" s="42">
        <v>1165</v>
      </c>
      <c r="F365" s="42">
        <v>1102</v>
      </c>
      <c r="G365" s="42">
        <v>676</v>
      </c>
      <c r="H365" s="163">
        <v>733</v>
      </c>
    </row>
    <row r="366" spans="1:8" ht="13.5" customHeight="1">
      <c r="A366" s="9" t="s">
        <v>26</v>
      </c>
      <c r="B366" s="42">
        <v>11591</v>
      </c>
      <c r="C366" s="42">
        <v>1310</v>
      </c>
      <c r="D366" s="42">
        <v>3163</v>
      </c>
      <c r="E366" s="42">
        <v>4199</v>
      </c>
      <c r="F366" s="42">
        <v>1907</v>
      </c>
      <c r="G366" s="42">
        <v>653</v>
      </c>
      <c r="H366" s="163">
        <v>359</v>
      </c>
    </row>
    <row r="367" spans="1:8" ht="13.5" customHeight="1">
      <c r="A367" s="9" t="s">
        <v>27</v>
      </c>
      <c r="B367" s="42">
        <v>19688</v>
      </c>
      <c r="C367" s="42">
        <v>2717</v>
      </c>
      <c r="D367" s="42">
        <v>6026</v>
      </c>
      <c r="E367" s="42">
        <v>6645</v>
      </c>
      <c r="F367" s="42">
        <v>2980</v>
      </c>
      <c r="G367" s="42">
        <v>977</v>
      </c>
      <c r="H367" s="163">
        <v>343</v>
      </c>
    </row>
    <row r="368" spans="1:8" ht="13.5" customHeight="1">
      <c r="A368" s="9" t="s">
        <v>28</v>
      </c>
      <c r="B368" s="42">
        <v>15683</v>
      </c>
      <c r="C368" s="42">
        <v>2841</v>
      </c>
      <c r="D368" s="42">
        <v>4566</v>
      </c>
      <c r="E368" s="42">
        <v>4945</v>
      </c>
      <c r="F368" s="42">
        <v>2297</v>
      </c>
      <c r="G368" s="42">
        <v>698</v>
      </c>
      <c r="H368" s="163">
        <v>336</v>
      </c>
    </row>
    <row r="369" spans="1:8" ht="13.5" customHeight="1">
      <c r="A369" s="9" t="s">
        <v>29</v>
      </c>
      <c r="B369" s="42">
        <v>11578</v>
      </c>
      <c r="C369" s="42">
        <v>2023</v>
      </c>
      <c r="D369" s="42">
        <v>3254</v>
      </c>
      <c r="E369" s="42">
        <v>3580</v>
      </c>
      <c r="F369" s="42">
        <v>1871</v>
      </c>
      <c r="G369" s="42">
        <v>616</v>
      </c>
      <c r="H369" s="163">
        <v>234</v>
      </c>
    </row>
    <row r="370" spans="1:8" ht="13.5" customHeight="1">
      <c r="A370" s="9" t="s">
        <v>30</v>
      </c>
      <c r="B370" s="42">
        <v>12271</v>
      </c>
      <c r="C370" s="42">
        <v>2205</v>
      </c>
      <c r="D370" s="42">
        <v>3246</v>
      </c>
      <c r="E370" s="42">
        <v>3971</v>
      </c>
      <c r="F370" s="42">
        <v>1989</v>
      </c>
      <c r="G370" s="42">
        <v>588</v>
      </c>
      <c r="H370" s="42">
        <v>272</v>
      </c>
    </row>
    <row r="371" spans="1:8" ht="13.5" customHeight="1">
      <c r="A371" s="106" t="s">
        <v>41</v>
      </c>
      <c r="B371" s="105"/>
      <c r="C371" s="105"/>
      <c r="D371" s="105"/>
      <c r="E371" s="105"/>
      <c r="F371" s="105"/>
      <c r="G371" s="105"/>
      <c r="H371" s="105"/>
    </row>
    <row r="372" spans="1:8" ht="13.5" customHeight="1">
      <c r="A372" s="10" t="s">
        <v>97</v>
      </c>
      <c r="B372" s="42">
        <v>11157</v>
      </c>
      <c r="C372" s="42">
        <v>9968</v>
      </c>
      <c r="D372" s="42">
        <v>1165</v>
      </c>
      <c r="E372" s="42">
        <v>23</v>
      </c>
      <c r="F372" s="42">
        <v>0</v>
      </c>
      <c r="G372" s="42">
        <v>1</v>
      </c>
      <c r="H372" s="42">
        <v>0</v>
      </c>
    </row>
    <row r="373" spans="1:8" ht="13.5" customHeight="1">
      <c r="A373" s="10" t="s">
        <v>59</v>
      </c>
      <c r="B373" s="42">
        <v>18605</v>
      </c>
      <c r="C373" s="42">
        <v>1564</v>
      </c>
      <c r="D373" s="42">
        <v>14858</v>
      </c>
      <c r="E373" s="42">
        <v>2144</v>
      </c>
      <c r="F373" s="42">
        <v>33</v>
      </c>
      <c r="G373" s="42">
        <v>6</v>
      </c>
      <c r="H373" s="42">
        <v>0</v>
      </c>
    </row>
    <row r="374" spans="1:8" ht="13.5" customHeight="1">
      <c r="A374" s="10" t="s">
        <v>60</v>
      </c>
      <c r="B374" s="42">
        <v>22253</v>
      </c>
      <c r="C374" s="42">
        <v>109</v>
      </c>
      <c r="D374" s="42">
        <v>4667</v>
      </c>
      <c r="E374" s="42">
        <v>15913</v>
      </c>
      <c r="F374" s="42">
        <v>1504</v>
      </c>
      <c r="G374" s="42">
        <v>53</v>
      </c>
      <c r="H374" s="42">
        <v>7</v>
      </c>
    </row>
    <row r="375" spans="1:8" ht="13.5" customHeight="1">
      <c r="A375" s="10" t="s">
        <v>61</v>
      </c>
      <c r="B375" s="42">
        <v>12484</v>
      </c>
      <c r="C375" s="42">
        <v>42</v>
      </c>
      <c r="D375" s="42">
        <v>304</v>
      </c>
      <c r="E375" s="42">
        <v>5864</v>
      </c>
      <c r="F375" s="42">
        <v>5846</v>
      </c>
      <c r="G375" s="42">
        <v>402</v>
      </c>
      <c r="H375" s="42">
        <v>26</v>
      </c>
    </row>
    <row r="376" spans="1:8" ht="13.5" customHeight="1">
      <c r="A376" s="10" t="s">
        <v>62</v>
      </c>
      <c r="B376" s="42">
        <v>6433</v>
      </c>
      <c r="C376" s="42">
        <v>16</v>
      </c>
      <c r="D376" s="42">
        <v>54</v>
      </c>
      <c r="E376" s="42">
        <v>661</v>
      </c>
      <c r="F376" s="42">
        <v>3961</v>
      </c>
      <c r="G376" s="42">
        <v>1608</v>
      </c>
      <c r="H376" s="42">
        <v>133</v>
      </c>
    </row>
    <row r="377" spans="1:8" ht="13.5" customHeight="1">
      <c r="A377" s="10" t="s">
        <v>63</v>
      </c>
      <c r="B377" s="42">
        <v>4319</v>
      </c>
      <c r="C377" s="42">
        <v>15</v>
      </c>
      <c r="D377" s="42">
        <v>21</v>
      </c>
      <c r="E377" s="42">
        <v>195</v>
      </c>
      <c r="F377" s="42">
        <v>1122</v>
      </c>
      <c r="G377" s="42">
        <v>2056</v>
      </c>
      <c r="H377" s="42">
        <v>910</v>
      </c>
    </row>
    <row r="378" spans="1:8" ht="13.5" customHeight="1">
      <c r="A378" s="10" t="s">
        <v>96</v>
      </c>
      <c r="B378" s="42">
        <v>2282</v>
      </c>
      <c r="C378" s="42">
        <v>8</v>
      </c>
      <c r="D378" s="42">
        <v>4</v>
      </c>
      <c r="E378" s="42">
        <v>29</v>
      </c>
      <c r="F378" s="42">
        <v>147</v>
      </c>
      <c r="G378" s="42">
        <v>545</v>
      </c>
      <c r="H378" s="42">
        <v>1549</v>
      </c>
    </row>
    <row r="379" spans="1:8" ht="13.5" customHeight="1">
      <c r="A379" s="10"/>
      <c r="B379" s="42"/>
      <c r="C379" s="42"/>
      <c r="D379" s="42"/>
      <c r="E379" s="42"/>
      <c r="F379" s="42"/>
      <c r="G379" s="42"/>
      <c r="H379" s="42"/>
    </row>
    <row r="380" spans="1:8" ht="13.5" customHeight="1">
      <c r="A380" s="9" t="s">
        <v>84</v>
      </c>
      <c r="B380" s="161"/>
      <c r="C380" s="161"/>
      <c r="D380" s="161"/>
      <c r="E380" s="161"/>
      <c r="F380" s="161"/>
      <c r="G380" s="161"/>
      <c r="H380" s="161"/>
    </row>
    <row r="381" spans="1:8" ht="13.5" customHeight="1">
      <c r="A381" s="161"/>
      <c r="B381" s="161"/>
      <c r="C381" s="161"/>
      <c r="D381" s="161"/>
      <c r="E381" s="161"/>
      <c r="F381" s="161"/>
      <c r="G381" s="161"/>
      <c r="H381" s="161"/>
    </row>
    <row r="382" spans="1:8" ht="13.5" customHeight="1">
      <c r="A382" s="46" t="s">
        <v>113</v>
      </c>
      <c r="B382" s="161"/>
      <c r="C382" s="161"/>
      <c r="D382" s="161"/>
      <c r="E382" s="161"/>
      <c r="F382" s="161"/>
      <c r="G382" s="161"/>
      <c r="H382" s="161"/>
    </row>
    <row r="385" spans="1:11" ht="13.5" customHeight="1">
      <c r="A385" s="90" t="s">
        <v>111</v>
      </c>
      <c r="B385" s="161"/>
      <c r="C385" s="161"/>
      <c r="D385" s="161"/>
      <c r="E385" s="161"/>
      <c r="F385" s="161"/>
      <c r="G385" s="161"/>
      <c r="H385" s="161"/>
    </row>
    <row r="386" spans="1:11" ht="13.5" customHeight="1">
      <c r="A386" s="41" t="s">
        <v>1</v>
      </c>
      <c r="B386" s="161"/>
      <c r="C386" s="161"/>
      <c r="D386" s="161"/>
      <c r="E386" s="161"/>
      <c r="F386" s="161"/>
      <c r="G386" s="161"/>
      <c r="H386" s="161"/>
    </row>
    <row r="387" spans="1:11" ht="13.5" customHeight="1">
      <c r="A387" s="161"/>
      <c r="B387" s="161"/>
      <c r="C387" s="161"/>
      <c r="D387" s="161"/>
      <c r="E387" s="161"/>
      <c r="F387" s="161"/>
      <c r="G387" s="161"/>
      <c r="H387" s="161"/>
    </row>
    <row r="388" spans="1:11" ht="13.5" customHeight="1">
      <c r="A388" s="101"/>
      <c r="B388" s="101"/>
      <c r="C388" s="103"/>
      <c r="D388" s="103"/>
      <c r="E388" s="103"/>
      <c r="F388" s="103"/>
      <c r="G388" s="103"/>
      <c r="H388" s="104" t="s">
        <v>42</v>
      </c>
      <c r="J388" s="170" t="s">
        <v>126</v>
      </c>
    </row>
    <row r="389" spans="1:11" ht="13.5" customHeight="1">
      <c r="A389" s="102"/>
      <c r="B389" s="100" t="s">
        <v>2</v>
      </c>
      <c r="C389" s="100">
        <v>1</v>
      </c>
      <c r="D389" s="100">
        <v>2</v>
      </c>
      <c r="E389" s="100">
        <v>3</v>
      </c>
      <c r="F389" s="100">
        <v>4</v>
      </c>
      <c r="G389" s="100">
        <v>5</v>
      </c>
      <c r="H389" s="100" t="s">
        <v>66</v>
      </c>
      <c r="I389" s="7"/>
    </row>
    <row r="390" spans="1:11" ht="13.5" customHeight="1">
      <c r="A390" s="37" t="s">
        <v>2</v>
      </c>
      <c r="B390" s="36">
        <v>77213</v>
      </c>
      <c r="C390" s="36">
        <v>11622</v>
      </c>
      <c r="D390" s="36">
        <v>20995</v>
      </c>
      <c r="E390" s="36">
        <v>24737</v>
      </c>
      <c r="F390" s="36">
        <v>12546</v>
      </c>
      <c r="G390" s="36">
        <v>4667</v>
      </c>
      <c r="H390" s="36">
        <v>2646</v>
      </c>
    </row>
    <row r="391" spans="1:11" ht="13.5" customHeight="1">
      <c r="A391" s="37" t="s">
        <v>5</v>
      </c>
      <c r="B391" s="105"/>
      <c r="C391" s="105"/>
      <c r="D391" s="105"/>
      <c r="E391" s="105"/>
      <c r="F391" s="105"/>
      <c r="G391" s="105"/>
      <c r="H391" s="105"/>
      <c r="K391" s="7"/>
    </row>
    <row r="392" spans="1:11" ht="13.5" customHeight="1">
      <c r="A392" s="9" t="s">
        <v>6</v>
      </c>
      <c r="B392" s="42">
        <v>2213</v>
      </c>
      <c r="C392" s="42">
        <v>12</v>
      </c>
      <c r="D392" s="42">
        <v>43</v>
      </c>
      <c r="E392" s="42">
        <v>170</v>
      </c>
      <c r="F392" s="42">
        <v>431</v>
      </c>
      <c r="G392" s="42">
        <v>719</v>
      </c>
      <c r="H392" s="42">
        <v>838</v>
      </c>
    </row>
    <row r="393" spans="1:11" ht="13.5" customHeight="1">
      <c r="A393" s="9" t="s">
        <v>7</v>
      </c>
      <c r="B393" s="42">
        <v>45747</v>
      </c>
      <c r="C393" s="42">
        <v>6026</v>
      </c>
      <c r="D393" s="42">
        <v>12865</v>
      </c>
      <c r="E393" s="42">
        <v>15492</v>
      </c>
      <c r="F393" s="42">
        <v>7765</v>
      </c>
      <c r="G393" s="42">
        <v>2540</v>
      </c>
      <c r="H393" s="42">
        <v>1059</v>
      </c>
    </row>
    <row r="394" spans="1:11" ht="13.5" customHeight="1">
      <c r="A394" s="10" t="s">
        <v>8</v>
      </c>
      <c r="B394" s="42">
        <v>28002</v>
      </c>
      <c r="C394" s="42">
        <v>5216</v>
      </c>
      <c r="D394" s="42">
        <v>7834</v>
      </c>
      <c r="E394" s="42">
        <v>8797</v>
      </c>
      <c r="F394" s="42">
        <v>4155</v>
      </c>
      <c r="G394" s="42">
        <v>1321</v>
      </c>
      <c r="H394" s="42">
        <v>679</v>
      </c>
      <c r="J394" s="7"/>
    </row>
    <row r="395" spans="1:11" ht="13.5" customHeight="1">
      <c r="A395" s="10" t="s">
        <v>65</v>
      </c>
      <c r="B395" s="42">
        <v>1251</v>
      </c>
      <c r="C395" s="42">
        <v>368</v>
      </c>
      <c r="D395" s="42">
        <v>253</v>
      </c>
      <c r="E395" s="42">
        <v>278</v>
      </c>
      <c r="F395" s="42">
        <v>195</v>
      </c>
      <c r="G395" s="42">
        <v>87</v>
      </c>
      <c r="H395" s="42">
        <v>70</v>
      </c>
    </row>
    <row r="396" spans="1:11" ht="13.5" customHeight="1">
      <c r="A396" s="106" t="s">
        <v>39</v>
      </c>
      <c r="B396" s="105"/>
      <c r="C396" s="105"/>
      <c r="D396" s="105"/>
      <c r="E396" s="105"/>
      <c r="F396" s="105"/>
      <c r="G396" s="105"/>
      <c r="H396" s="105"/>
    </row>
    <row r="397" spans="1:11" ht="13.5" customHeight="1">
      <c r="A397" s="9" t="s">
        <v>10</v>
      </c>
      <c r="B397" s="42">
        <v>12600</v>
      </c>
      <c r="C397" s="42">
        <v>1659</v>
      </c>
      <c r="D397" s="42">
        <v>2664</v>
      </c>
      <c r="E397" s="42">
        <v>3924</v>
      </c>
      <c r="F397" s="42">
        <v>2182</v>
      </c>
      <c r="G397" s="42">
        <v>1236</v>
      </c>
      <c r="H397" s="42">
        <v>935</v>
      </c>
    </row>
    <row r="398" spans="1:11" ht="13.5" customHeight="1">
      <c r="A398" s="9" t="s">
        <v>11</v>
      </c>
      <c r="B398" s="42">
        <v>14633</v>
      </c>
      <c r="C398" s="42">
        <v>2049</v>
      </c>
      <c r="D398" s="42">
        <v>4850</v>
      </c>
      <c r="E398" s="42">
        <v>4745</v>
      </c>
      <c r="F398" s="42">
        <v>1656</v>
      </c>
      <c r="G398" s="42">
        <v>788</v>
      </c>
      <c r="H398" s="42">
        <v>545</v>
      </c>
    </row>
    <row r="399" spans="1:11" ht="13.5" customHeight="1">
      <c r="A399" s="9" t="s">
        <v>12</v>
      </c>
      <c r="B399" s="42">
        <v>17932</v>
      </c>
      <c r="C399" s="42">
        <v>2639</v>
      </c>
      <c r="D399" s="42">
        <v>6778</v>
      </c>
      <c r="E399" s="42">
        <v>5881</v>
      </c>
      <c r="F399" s="42">
        <v>1752</v>
      </c>
      <c r="G399" s="42">
        <v>560</v>
      </c>
      <c r="H399" s="42">
        <v>322</v>
      </c>
    </row>
    <row r="400" spans="1:11" ht="13.5" customHeight="1">
      <c r="A400" s="9" t="s">
        <v>13</v>
      </c>
      <c r="B400" s="42">
        <v>13815</v>
      </c>
      <c r="C400" s="42">
        <v>3160</v>
      </c>
      <c r="D400" s="42">
        <v>3252</v>
      </c>
      <c r="E400" s="42">
        <v>4601</v>
      </c>
      <c r="F400" s="42">
        <v>1900</v>
      </c>
      <c r="G400" s="42">
        <v>527</v>
      </c>
      <c r="H400" s="42">
        <v>375</v>
      </c>
    </row>
    <row r="401" spans="1:8" ht="13.5" customHeight="1">
      <c r="A401" s="9" t="s">
        <v>14</v>
      </c>
      <c r="B401" s="42">
        <v>5824</v>
      </c>
      <c r="C401" s="42">
        <v>1207</v>
      </c>
      <c r="D401" s="42">
        <v>1051</v>
      </c>
      <c r="E401" s="42">
        <v>1821</v>
      </c>
      <c r="F401" s="42">
        <v>1225</v>
      </c>
      <c r="G401" s="42">
        <v>407</v>
      </c>
      <c r="H401" s="42">
        <v>113</v>
      </c>
    </row>
    <row r="402" spans="1:8" ht="13.5" customHeight="1">
      <c r="A402" s="9" t="s">
        <v>15</v>
      </c>
      <c r="B402" s="42">
        <v>1821</v>
      </c>
      <c r="C402" s="42">
        <v>66</v>
      </c>
      <c r="D402" s="42">
        <v>297</v>
      </c>
      <c r="E402" s="42">
        <v>522</v>
      </c>
      <c r="F402" s="42">
        <v>652</v>
      </c>
      <c r="G402" s="42">
        <v>213</v>
      </c>
      <c r="H402" s="42">
        <v>71</v>
      </c>
    </row>
    <row r="403" spans="1:8" ht="13.5" customHeight="1">
      <c r="A403" s="9" t="s">
        <v>16</v>
      </c>
      <c r="B403" s="42">
        <v>1759</v>
      </c>
      <c r="C403" s="42">
        <v>122</v>
      </c>
      <c r="D403" s="42">
        <v>365</v>
      </c>
      <c r="E403" s="42">
        <v>526</v>
      </c>
      <c r="F403" s="42">
        <v>517</v>
      </c>
      <c r="G403" s="42">
        <v>181</v>
      </c>
      <c r="H403" s="42">
        <v>48</v>
      </c>
    </row>
    <row r="404" spans="1:8" ht="13.5" customHeight="1">
      <c r="A404" s="9" t="s">
        <v>17</v>
      </c>
      <c r="B404" s="42">
        <v>1014</v>
      </c>
      <c r="C404" s="42">
        <v>196</v>
      </c>
      <c r="D404" s="42">
        <v>224</v>
      </c>
      <c r="E404" s="42">
        <v>306</v>
      </c>
      <c r="F404" s="42">
        <v>162</v>
      </c>
      <c r="G404" s="42">
        <v>104</v>
      </c>
      <c r="H404" s="42">
        <v>22</v>
      </c>
    </row>
    <row r="405" spans="1:8" ht="13.5" customHeight="1">
      <c r="A405" s="9" t="s">
        <v>18</v>
      </c>
      <c r="B405" s="42">
        <v>966</v>
      </c>
      <c r="C405" s="42">
        <v>17</v>
      </c>
      <c r="D405" s="42">
        <v>120</v>
      </c>
      <c r="E405" s="42">
        <v>352</v>
      </c>
      <c r="F405" s="42">
        <v>315</v>
      </c>
      <c r="G405" s="42">
        <v>111</v>
      </c>
      <c r="H405" s="42">
        <v>51</v>
      </c>
    </row>
    <row r="406" spans="1:8" ht="13.5" customHeight="1">
      <c r="A406" s="9" t="s">
        <v>19</v>
      </c>
      <c r="B406" s="42">
        <v>995</v>
      </c>
      <c r="C406" s="42">
        <v>36</v>
      </c>
      <c r="D406" s="42">
        <v>85</v>
      </c>
      <c r="E406" s="42">
        <v>227</v>
      </c>
      <c r="F406" s="42">
        <v>433</v>
      </c>
      <c r="G406" s="42">
        <v>166</v>
      </c>
      <c r="H406" s="42">
        <v>48</v>
      </c>
    </row>
    <row r="407" spans="1:8" ht="13.5" customHeight="1">
      <c r="A407" s="9" t="s">
        <v>20</v>
      </c>
      <c r="B407" s="42">
        <v>2221</v>
      </c>
      <c r="C407" s="42">
        <v>118</v>
      </c>
      <c r="D407" s="42">
        <v>353</v>
      </c>
      <c r="E407" s="42">
        <v>604</v>
      </c>
      <c r="F407" s="42">
        <v>854</v>
      </c>
      <c r="G407" s="42">
        <v>213</v>
      </c>
      <c r="H407" s="42">
        <v>79</v>
      </c>
    </row>
    <row r="408" spans="1:8" ht="13.5" customHeight="1">
      <c r="A408" s="9" t="s">
        <v>21</v>
      </c>
      <c r="B408" s="42">
        <v>2292</v>
      </c>
      <c r="C408" s="42">
        <v>252</v>
      </c>
      <c r="D408" s="42">
        <v>568</v>
      </c>
      <c r="E408" s="42">
        <v>782</v>
      </c>
      <c r="F408" s="42">
        <v>547</v>
      </c>
      <c r="G408" s="42">
        <v>110</v>
      </c>
      <c r="H408" s="42">
        <v>33</v>
      </c>
    </row>
    <row r="409" spans="1:8" ht="13.5" customHeight="1">
      <c r="A409" s="9" t="s">
        <v>112</v>
      </c>
      <c r="B409" s="42">
        <v>1341</v>
      </c>
      <c r="C409" s="42">
        <v>101</v>
      </c>
      <c r="D409" s="42">
        <v>388</v>
      </c>
      <c r="E409" s="42">
        <v>446</v>
      </c>
      <c r="F409" s="42">
        <v>351</v>
      </c>
      <c r="G409" s="42">
        <v>51</v>
      </c>
      <c r="H409" s="42">
        <v>4</v>
      </c>
    </row>
    <row r="410" spans="1:8" ht="13.5" customHeight="1">
      <c r="A410" s="106" t="s">
        <v>40</v>
      </c>
      <c r="B410" s="105"/>
      <c r="C410" s="105"/>
      <c r="D410" s="105"/>
      <c r="E410" s="105"/>
      <c r="F410" s="105"/>
      <c r="G410" s="105"/>
      <c r="H410" s="105"/>
    </row>
    <row r="411" spans="1:8" ht="13.5" customHeight="1">
      <c r="A411" s="9" t="s">
        <v>23</v>
      </c>
      <c r="B411" s="42">
        <v>157</v>
      </c>
      <c r="C411" s="42">
        <v>56</v>
      </c>
      <c r="D411" s="42">
        <v>20</v>
      </c>
      <c r="E411" s="42">
        <v>32</v>
      </c>
      <c r="F411" s="42">
        <v>26</v>
      </c>
      <c r="G411" s="42">
        <v>13</v>
      </c>
      <c r="H411" s="42">
        <v>10</v>
      </c>
    </row>
    <row r="412" spans="1:8" ht="13.5" customHeight="1">
      <c r="A412" s="9" t="s">
        <v>24</v>
      </c>
      <c r="B412" s="42">
        <v>1909</v>
      </c>
      <c r="C412" s="42">
        <v>237</v>
      </c>
      <c r="D412" s="42">
        <v>148</v>
      </c>
      <c r="E412" s="42">
        <v>291</v>
      </c>
      <c r="F412" s="42">
        <v>438</v>
      </c>
      <c r="G412" s="42">
        <v>457</v>
      </c>
      <c r="H412" s="42">
        <v>338</v>
      </c>
    </row>
    <row r="413" spans="1:8" ht="13.5" customHeight="1">
      <c r="A413" s="9" t="s">
        <v>25</v>
      </c>
      <c r="B413" s="42">
        <v>4625</v>
      </c>
      <c r="C413" s="42">
        <v>330</v>
      </c>
      <c r="D413" s="42">
        <v>648</v>
      </c>
      <c r="E413" s="42">
        <v>1147</v>
      </c>
      <c r="F413" s="42">
        <v>1091</v>
      </c>
      <c r="G413" s="42">
        <v>668</v>
      </c>
      <c r="H413" s="42">
        <v>741</v>
      </c>
    </row>
    <row r="414" spans="1:8" ht="13.5" customHeight="1">
      <c r="A414" s="9" t="s">
        <v>26</v>
      </c>
      <c r="B414" s="42">
        <v>11607</v>
      </c>
      <c r="C414" s="42">
        <v>1311</v>
      </c>
      <c r="D414" s="42">
        <v>3165</v>
      </c>
      <c r="E414" s="42">
        <v>4213</v>
      </c>
      <c r="F414" s="42">
        <v>1911</v>
      </c>
      <c r="G414" s="42">
        <v>650</v>
      </c>
      <c r="H414" s="42">
        <v>357</v>
      </c>
    </row>
    <row r="415" spans="1:8" ht="13.5" customHeight="1">
      <c r="A415" s="9" t="s">
        <v>27</v>
      </c>
      <c r="B415" s="42">
        <v>19806</v>
      </c>
      <c r="C415" s="42">
        <v>2688</v>
      </c>
      <c r="D415" s="42">
        <v>6089</v>
      </c>
      <c r="E415" s="42">
        <v>6697</v>
      </c>
      <c r="F415" s="42">
        <v>2981</v>
      </c>
      <c r="G415" s="42">
        <v>994</v>
      </c>
      <c r="H415" s="42">
        <v>357</v>
      </c>
    </row>
    <row r="416" spans="1:8" ht="13.5" customHeight="1">
      <c r="A416" s="9" t="s">
        <v>28</v>
      </c>
      <c r="B416" s="42">
        <v>15546</v>
      </c>
      <c r="C416" s="42">
        <v>2778</v>
      </c>
      <c r="D416" s="42">
        <v>4523</v>
      </c>
      <c r="E416" s="42">
        <v>4935</v>
      </c>
      <c r="F416" s="42">
        <v>2292</v>
      </c>
      <c r="G416" s="42">
        <v>685</v>
      </c>
      <c r="H416" s="42">
        <v>333</v>
      </c>
    </row>
    <row r="417" spans="1:8" ht="13.5" customHeight="1">
      <c r="A417" s="9" t="s">
        <v>29</v>
      </c>
      <c r="B417" s="42">
        <v>11504</v>
      </c>
      <c r="C417" s="42">
        <v>2032</v>
      </c>
      <c r="D417" s="42">
        <v>3243</v>
      </c>
      <c r="E417" s="42">
        <v>3537</v>
      </c>
      <c r="F417" s="42">
        <v>1852</v>
      </c>
      <c r="G417" s="42">
        <v>609</v>
      </c>
      <c r="H417" s="42">
        <v>231</v>
      </c>
    </row>
    <row r="418" spans="1:8" ht="13.5" customHeight="1">
      <c r="A418" s="9" t="s">
        <v>30</v>
      </c>
      <c r="B418" s="42">
        <v>12059</v>
      </c>
      <c r="C418" s="42">
        <v>2190</v>
      </c>
      <c r="D418" s="42">
        <v>3159</v>
      </c>
      <c r="E418" s="42">
        <v>3885</v>
      </c>
      <c r="F418" s="42">
        <v>1955</v>
      </c>
      <c r="G418" s="42">
        <v>591</v>
      </c>
      <c r="H418" s="42">
        <v>279</v>
      </c>
    </row>
    <row r="419" spans="1:8" ht="13.5" customHeight="1">
      <c r="A419" s="106" t="s">
        <v>41</v>
      </c>
      <c r="B419" s="105"/>
      <c r="C419" s="105"/>
      <c r="D419" s="105"/>
      <c r="E419" s="105"/>
      <c r="F419" s="105"/>
      <c r="G419" s="105"/>
      <c r="H419" s="105"/>
    </row>
    <row r="420" spans="1:8" ht="13.5" customHeight="1">
      <c r="A420" s="10" t="s">
        <v>97</v>
      </c>
      <c r="B420" s="42">
        <v>11072</v>
      </c>
      <c r="C420" s="42">
        <v>9878</v>
      </c>
      <c r="D420" s="42">
        <v>1171</v>
      </c>
      <c r="E420" s="42">
        <v>22</v>
      </c>
      <c r="F420" s="42">
        <v>1</v>
      </c>
      <c r="G420" s="42"/>
      <c r="H420" s="42">
        <v>0</v>
      </c>
    </row>
    <row r="421" spans="1:8" ht="13.5" customHeight="1">
      <c r="A421" s="10" t="s">
        <v>59</v>
      </c>
      <c r="B421" s="42">
        <v>18493</v>
      </c>
      <c r="C421" s="42">
        <v>1545</v>
      </c>
      <c r="D421" s="42">
        <v>14757</v>
      </c>
      <c r="E421" s="42">
        <v>2147</v>
      </c>
      <c r="F421" s="42">
        <v>35</v>
      </c>
      <c r="G421" s="42">
        <v>7</v>
      </c>
      <c r="H421" s="42">
        <v>2</v>
      </c>
    </row>
    <row r="422" spans="1:8" ht="13.5" customHeight="1">
      <c r="A422" s="10" t="s">
        <v>60</v>
      </c>
      <c r="B422" s="42">
        <v>22238</v>
      </c>
      <c r="C422" s="42">
        <v>117</v>
      </c>
      <c r="D422" s="42">
        <v>4684</v>
      </c>
      <c r="E422" s="42">
        <v>15857</v>
      </c>
      <c r="F422" s="42">
        <v>1520</v>
      </c>
      <c r="G422" s="42">
        <v>53</v>
      </c>
      <c r="H422" s="42">
        <v>7</v>
      </c>
    </row>
    <row r="423" spans="1:8" ht="13.5" customHeight="1">
      <c r="A423" s="10" t="s">
        <v>61</v>
      </c>
      <c r="B423" s="42">
        <v>12417</v>
      </c>
      <c r="C423" s="42">
        <v>39</v>
      </c>
      <c r="D423" s="42">
        <v>305</v>
      </c>
      <c r="E423" s="42">
        <v>5823</v>
      </c>
      <c r="F423" s="42">
        <v>5823</v>
      </c>
      <c r="G423" s="42">
        <v>399</v>
      </c>
      <c r="H423" s="42">
        <v>28</v>
      </c>
    </row>
    <row r="424" spans="1:8" ht="13.5" customHeight="1">
      <c r="A424" s="10" t="s">
        <v>62</v>
      </c>
      <c r="B424" s="42">
        <v>6400</v>
      </c>
      <c r="C424" s="42">
        <v>16</v>
      </c>
      <c r="D424" s="42">
        <v>53</v>
      </c>
      <c r="E424" s="42">
        <v>660</v>
      </c>
      <c r="F424" s="42">
        <v>3939</v>
      </c>
      <c r="G424" s="42">
        <v>1596</v>
      </c>
      <c r="H424" s="42">
        <v>136</v>
      </c>
    </row>
    <row r="425" spans="1:8" ht="13.5" customHeight="1">
      <c r="A425" s="10" t="s">
        <v>63</v>
      </c>
      <c r="B425" s="42">
        <v>4289</v>
      </c>
      <c r="C425" s="42">
        <v>15</v>
      </c>
      <c r="D425" s="42">
        <v>21</v>
      </c>
      <c r="E425" s="42">
        <v>194</v>
      </c>
      <c r="F425" s="42">
        <v>1081</v>
      </c>
      <c r="G425" s="42">
        <v>2060</v>
      </c>
      <c r="H425" s="42">
        <v>918</v>
      </c>
    </row>
    <row r="426" spans="1:8" ht="13.5" customHeight="1">
      <c r="A426" s="10" t="s">
        <v>96</v>
      </c>
      <c r="B426" s="42">
        <v>2304</v>
      </c>
      <c r="C426" s="42">
        <v>12</v>
      </c>
      <c r="D426" s="42">
        <v>4</v>
      </c>
      <c r="E426" s="42">
        <v>34</v>
      </c>
      <c r="F426" s="42">
        <v>147</v>
      </c>
      <c r="G426" s="42">
        <v>552</v>
      </c>
      <c r="H426" s="42">
        <v>1555</v>
      </c>
    </row>
    <row r="427" spans="1:8" ht="13.5" customHeight="1">
      <c r="A427" s="10"/>
      <c r="B427" s="42"/>
      <c r="C427" s="42"/>
      <c r="D427" s="42"/>
      <c r="E427" s="42"/>
      <c r="F427" s="42"/>
      <c r="G427" s="42"/>
      <c r="H427" s="42"/>
    </row>
    <row r="428" spans="1:8" ht="13.5" customHeight="1">
      <c r="A428" s="9" t="s">
        <v>84</v>
      </c>
      <c r="B428" s="161"/>
      <c r="C428" s="161"/>
      <c r="D428" s="161"/>
      <c r="E428" s="161"/>
      <c r="F428" s="161"/>
      <c r="G428" s="161"/>
      <c r="H428" s="161"/>
    </row>
    <row r="429" spans="1:8" ht="13.5" customHeight="1">
      <c r="A429" s="161"/>
      <c r="B429" s="161"/>
      <c r="C429" s="161"/>
      <c r="D429" s="161"/>
      <c r="E429" s="161"/>
      <c r="F429" s="161"/>
      <c r="G429" s="161"/>
      <c r="H429" s="161"/>
    </row>
    <row r="430" spans="1:8" ht="13.5" customHeight="1">
      <c r="A430" s="46" t="s">
        <v>113</v>
      </c>
      <c r="B430" s="161"/>
      <c r="C430" s="161"/>
      <c r="D430" s="161"/>
      <c r="E430" s="161"/>
      <c r="F430" s="161"/>
      <c r="G430" s="161"/>
      <c r="H430" s="161"/>
    </row>
    <row r="431" spans="1:8" ht="13.5" customHeight="1">
      <c r="A431" s="46"/>
      <c r="B431" s="161"/>
      <c r="C431" s="161"/>
      <c r="D431" s="161"/>
      <c r="E431" s="161"/>
      <c r="F431" s="161"/>
      <c r="G431" s="161"/>
      <c r="H431" s="161"/>
    </row>
    <row r="433" spans="1:11" ht="13.5" customHeight="1">
      <c r="A433" s="90" t="s">
        <v>104</v>
      </c>
      <c r="B433" s="7"/>
      <c r="C433" s="7"/>
      <c r="D433" s="7"/>
      <c r="E433" s="7"/>
      <c r="F433" s="7"/>
      <c r="G433" s="7"/>
      <c r="H433" s="7"/>
    </row>
    <row r="434" spans="1:11" ht="13.5" customHeight="1">
      <c r="A434" s="41" t="s">
        <v>1</v>
      </c>
      <c r="B434"/>
      <c r="C434"/>
      <c r="D434"/>
      <c r="E434"/>
      <c r="F434"/>
      <c r="G434"/>
      <c r="H434"/>
    </row>
    <row r="435" spans="1:11" ht="13.5" customHeight="1">
      <c r="A435"/>
      <c r="B435"/>
      <c r="C435"/>
      <c r="D435"/>
      <c r="E435"/>
      <c r="F435"/>
      <c r="G435"/>
      <c r="H435"/>
    </row>
    <row r="436" spans="1:11" ht="13.5" customHeight="1">
      <c r="A436" s="101"/>
      <c r="B436" s="99"/>
      <c r="C436" s="103"/>
      <c r="D436" s="103"/>
      <c r="E436" s="103"/>
      <c r="F436" s="103"/>
      <c r="G436" s="103"/>
      <c r="H436" s="104" t="s">
        <v>42</v>
      </c>
      <c r="I436" s="7"/>
      <c r="J436" s="170" t="s">
        <v>126</v>
      </c>
    </row>
    <row r="437" spans="1:11" ht="13.5" customHeight="1">
      <c r="A437" s="102"/>
      <c r="B437" s="100" t="s">
        <v>2</v>
      </c>
      <c r="C437" s="100">
        <v>1</v>
      </c>
      <c r="D437" s="100">
        <v>2</v>
      </c>
      <c r="E437" s="100">
        <v>3</v>
      </c>
      <c r="F437" s="100">
        <v>4</v>
      </c>
      <c r="G437" s="100">
        <v>5</v>
      </c>
      <c r="H437" s="100" t="s">
        <v>66</v>
      </c>
    </row>
    <row r="438" spans="1:11" ht="13.5" customHeight="1">
      <c r="A438" s="37" t="s">
        <v>2</v>
      </c>
      <c r="B438" s="105">
        <v>75888</v>
      </c>
      <c r="C438" s="105">
        <v>11513</v>
      </c>
      <c r="D438" s="105">
        <v>20599</v>
      </c>
      <c r="E438" s="105">
        <v>24295</v>
      </c>
      <c r="F438" s="105">
        <v>12211</v>
      </c>
      <c r="G438" s="105">
        <v>4623</v>
      </c>
      <c r="H438" s="105">
        <v>2647</v>
      </c>
      <c r="K438" s="7"/>
    </row>
    <row r="439" spans="1:11" ht="13.5" customHeight="1">
      <c r="A439" s="37" t="s">
        <v>5</v>
      </c>
      <c r="B439" s="105"/>
      <c r="C439" s="105"/>
      <c r="D439" s="105"/>
      <c r="E439" s="105"/>
      <c r="F439" s="105"/>
      <c r="G439" s="105"/>
      <c r="H439" s="105"/>
    </row>
    <row r="440" spans="1:11" ht="13.5" customHeight="1">
      <c r="A440" s="9" t="s">
        <v>6</v>
      </c>
      <c r="B440" s="42">
        <v>2228</v>
      </c>
      <c r="C440" s="42">
        <v>12</v>
      </c>
      <c r="D440" s="42">
        <v>43</v>
      </c>
      <c r="E440" s="42">
        <v>172</v>
      </c>
      <c r="F440" s="42">
        <v>437</v>
      </c>
      <c r="G440" s="42">
        <v>720</v>
      </c>
      <c r="H440" s="42">
        <v>844</v>
      </c>
    </row>
    <row r="441" spans="1:11" ht="13.5" customHeight="1">
      <c r="A441" s="9" t="s">
        <v>7</v>
      </c>
      <c r="B441" s="42">
        <v>45203</v>
      </c>
      <c r="C441" s="42">
        <v>6081</v>
      </c>
      <c r="D441" s="42">
        <v>12663</v>
      </c>
      <c r="E441" s="42">
        <v>15303</v>
      </c>
      <c r="F441" s="42">
        <v>7574</v>
      </c>
      <c r="G441" s="42">
        <v>2514</v>
      </c>
      <c r="H441" s="42">
        <v>1068</v>
      </c>
    </row>
    <row r="442" spans="1:11" ht="13.5" customHeight="1">
      <c r="A442" s="10" t="s">
        <v>8</v>
      </c>
      <c r="B442" s="42">
        <v>27289</v>
      </c>
      <c r="C442" s="42">
        <v>5059</v>
      </c>
      <c r="D442" s="42">
        <v>7655</v>
      </c>
      <c r="E442" s="42">
        <v>8572</v>
      </c>
      <c r="F442" s="42">
        <v>4012</v>
      </c>
      <c r="G442" s="42">
        <v>1313</v>
      </c>
      <c r="H442" s="42">
        <v>678</v>
      </c>
      <c r="J442" s="7"/>
    </row>
    <row r="443" spans="1:11" ht="13.5" customHeight="1">
      <c r="A443" s="10" t="s">
        <v>65</v>
      </c>
      <c r="B443" s="42">
        <v>1168</v>
      </c>
      <c r="C443" s="42">
        <v>361</v>
      </c>
      <c r="D443" s="42">
        <v>238</v>
      </c>
      <c r="E443" s="42">
        <v>248</v>
      </c>
      <c r="F443" s="42">
        <v>188</v>
      </c>
      <c r="G443" s="42">
        <v>76</v>
      </c>
      <c r="H443" s="42">
        <v>57</v>
      </c>
    </row>
    <row r="444" spans="1:11" ht="13.5" customHeight="1">
      <c r="A444" s="106" t="s">
        <v>39</v>
      </c>
      <c r="B444" s="105"/>
      <c r="C444" s="105"/>
      <c r="D444" s="105"/>
      <c r="E444" s="105"/>
      <c r="F444" s="105"/>
      <c r="G444" s="105"/>
      <c r="H444" s="105"/>
    </row>
    <row r="445" spans="1:11" ht="13.5" customHeight="1">
      <c r="A445" s="9" t="s">
        <v>10</v>
      </c>
      <c r="B445" s="42">
        <v>12547</v>
      </c>
      <c r="C445" s="42">
        <v>1657</v>
      </c>
      <c r="D445" s="42">
        <v>2642</v>
      </c>
      <c r="E445" s="42">
        <v>3901</v>
      </c>
      <c r="F445" s="42">
        <v>2175</v>
      </c>
      <c r="G445" s="42">
        <v>1237</v>
      </c>
      <c r="H445" s="42">
        <v>935</v>
      </c>
    </row>
    <row r="446" spans="1:11" ht="13.5" customHeight="1">
      <c r="A446" s="9" t="s">
        <v>11</v>
      </c>
      <c r="B446" s="42">
        <v>14619</v>
      </c>
      <c r="C446" s="42">
        <v>2050</v>
      </c>
      <c r="D446" s="42">
        <v>4842</v>
      </c>
      <c r="E446" s="42">
        <v>4741</v>
      </c>
      <c r="F446" s="42">
        <v>1656</v>
      </c>
      <c r="G446" s="42">
        <v>783</v>
      </c>
      <c r="H446" s="42">
        <v>547</v>
      </c>
    </row>
    <row r="447" spans="1:11" ht="13.5" customHeight="1">
      <c r="A447" s="9" t="s">
        <v>12</v>
      </c>
      <c r="B447" s="42">
        <v>18013</v>
      </c>
      <c r="C447" s="42">
        <v>2660</v>
      </c>
      <c r="D447" s="42">
        <v>6789</v>
      </c>
      <c r="E447" s="42">
        <v>5920</v>
      </c>
      <c r="F447" s="42">
        <v>1758</v>
      </c>
      <c r="G447" s="42">
        <v>560</v>
      </c>
      <c r="H447" s="42">
        <v>326</v>
      </c>
    </row>
    <row r="448" spans="1:11" ht="13.5" customHeight="1">
      <c r="A448" s="9" t="s">
        <v>13</v>
      </c>
      <c r="B448" s="42">
        <v>13802</v>
      </c>
      <c r="C448" s="42">
        <v>3141</v>
      </c>
      <c r="D448" s="42">
        <v>3264</v>
      </c>
      <c r="E448" s="42">
        <v>4597</v>
      </c>
      <c r="F448" s="42">
        <v>1896</v>
      </c>
      <c r="G448" s="42">
        <v>530</v>
      </c>
      <c r="H448" s="42">
        <v>374</v>
      </c>
    </row>
    <row r="449" spans="1:8" ht="13.5" customHeight="1">
      <c r="A449" s="9" t="s">
        <v>14</v>
      </c>
      <c r="B449" s="42">
        <v>5797</v>
      </c>
      <c r="C449" s="42">
        <v>1200</v>
      </c>
      <c r="D449" s="42">
        <v>1046</v>
      </c>
      <c r="E449" s="42">
        <v>1805</v>
      </c>
      <c r="F449" s="42">
        <v>1226</v>
      </c>
      <c r="G449" s="42">
        <v>408</v>
      </c>
      <c r="H449" s="42">
        <v>112</v>
      </c>
    </row>
    <row r="450" spans="1:8" ht="13.5" customHeight="1">
      <c r="A450" s="9" t="s">
        <v>15</v>
      </c>
      <c r="B450" s="42">
        <v>1819</v>
      </c>
      <c r="C450" s="42">
        <v>65</v>
      </c>
      <c r="D450" s="42">
        <v>296</v>
      </c>
      <c r="E450" s="42">
        <v>521</v>
      </c>
      <c r="F450" s="42">
        <v>652</v>
      </c>
      <c r="G450" s="42">
        <v>214</v>
      </c>
      <c r="H450" s="42">
        <v>71</v>
      </c>
    </row>
    <row r="451" spans="1:8" ht="13.5" customHeight="1">
      <c r="A451" s="9" t="s">
        <v>16</v>
      </c>
      <c r="B451" s="42">
        <v>1753</v>
      </c>
      <c r="C451" s="42">
        <v>121</v>
      </c>
      <c r="D451" s="42">
        <v>365</v>
      </c>
      <c r="E451" s="42">
        <v>522</v>
      </c>
      <c r="F451" s="42">
        <v>516</v>
      </c>
      <c r="G451" s="42">
        <v>181</v>
      </c>
      <c r="H451" s="42">
        <v>48</v>
      </c>
    </row>
    <row r="452" spans="1:8" ht="13.5" customHeight="1">
      <c r="A452" s="9" t="s">
        <v>17</v>
      </c>
      <c r="B452" s="42">
        <v>1014</v>
      </c>
      <c r="C452" s="42">
        <v>196</v>
      </c>
      <c r="D452" s="42">
        <v>224</v>
      </c>
      <c r="E452" s="42">
        <v>306</v>
      </c>
      <c r="F452" s="42">
        <v>162</v>
      </c>
      <c r="G452" s="42">
        <v>104</v>
      </c>
      <c r="H452" s="42">
        <v>22</v>
      </c>
    </row>
    <row r="453" spans="1:8" ht="13.5" customHeight="1">
      <c r="A453" s="9" t="s">
        <v>18</v>
      </c>
      <c r="B453" s="42">
        <v>966</v>
      </c>
      <c r="C453" s="42">
        <v>17</v>
      </c>
      <c r="D453" s="42">
        <v>120</v>
      </c>
      <c r="E453" s="42">
        <v>352</v>
      </c>
      <c r="F453" s="42">
        <v>315</v>
      </c>
      <c r="G453" s="42">
        <v>111</v>
      </c>
      <c r="H453" s="42">
        <v>51</v>
      </c>
    </row>
    <row r="454" spans="1:8" ht="13.5" customHeight="1">
      <c r="A454" s="9" t="s">
        <v>19</v>
      </c>
      <c r="B454" s="42">
        <v>995</v>
      </c>
      <c r="C454" s="42">
        <v>36</v>
      </c>
      <c r="D454" s="42">
        <v>84</v>
      </c>
      <c r="E454" s="42">
        <v>228</v>
      </c>
      <c r="F454" s="42">
        <v>433</v>
      </c>
      <c r="G454" s="42">
        <v>166</v>
      </c>
      <c r="H454" s="42">
        <v>48</v>
      </c>
    </row>
    <row r="455" spans="1:8" ht="13.5" customHeight="1">
      <c r="A455" s="9" t="s">
        <v>20</v>
      </c>
      <c r="B455" s="42">
        <v>2221</v>
      </c>
      <c r="C455" s="42">
        <v>118</v>
      </c>
      <c r="D455" s="42">
        <v>353</v>
      </c>
      <c r="E455" s="42">
        <v>605</v>
      </c>
      <c r="F455" s="42">
        <v>853</v>
      </c>
      <c r="G455" s="42">
        <v>213</v>
      </c>
      <c r="H455" s="42">
        <v>79</v>
      </c>
    </row>
    <row r="456" spans="1:8" ht="13.5" customHeight="1">
      <c r="A456" s="9" t="s">
        <v>21</v>
      </c>
      <c r="B456" s="42">
        <v>2342</v>
      </c>
      <c r="C456" s="42">
        <v>252</v>
      </c>
      <c r="D456" s="42">
        <v>574</v>
      </c>
      <c r="E456" s="42">
        <v>797</v>
      </c>
      <c r="F456" s="42">
        <v>569</v>
      </c>
      <c r="G456" s="42">
        <v>116</v>
      </c>
      <c r="H456" s="42">
        <v>34</v>
      </c>
    </row>
    <row r="457" spans="1:8" ht="13.5" customHeight="1">
      <c r="A457" s="106" t="s">
        <v>40</v>
      </c>
      <c r="B457" s="105"/>
      <c r="C457" s="105"/>
      <c r="D457" s="105"/>
      <c r="E457" s="105"/>
      <c r="F457" s="105"/>
      <c r="G457" s="105"/>
      <c r="H457" s="105"/>
    </row>
    <row r="458" spans="1:8" ht="13.5" customHeight="1">
      <c r="A458" s="9" t="s">
        <v>23</v>
      </c>
      <c r="B458" s="42">
        <v>154</v>
      </c>
      <c r="C458" s="42">
        <v>56</v>
      </c>
      <c r="D458" s="42">
        <v>20</v>
      </c>
      <c r="E458" s="42">
        <v>31</v>
      </c>
      <c r="F458" s="42">
        <v>25</v>
      </c>
      <c r="G458" s="42">
        <v>13</v>
      </c>
      <c r="H458" s="42">
        <v>9</v>
      </c>
    </row>
    <row r="459" spans="1:8" ht="13.5" customHeight="1">
      <c r="A459" s="9" t="s">
        <v>24</v>
      </c>
      <c r="B459" s="42">
        <v>1850</v>
      </c>
      <c r="C459" s="42">
        <v>182</v>
      </c>
      <c r="D459" s="42">
        <v>138</v>
      </c>
      <c r="E459" s="42">
        <v>291</v>
      </c>
      <c r="F459" s="42">
        <v>443</v>
      </c>
      <c r="G459" s="42">
        <v>457</v>
      </c>
      <c r="H459" s="42">
        <v>339</v>
      </c>
    </row>
    <row r="460" spans="1:8" ht="13.5" customHeight="1">
      <c r="A460" s="9" t="s">
        <v>25</v>
      </c>
      <c r="B460" s="42">
        <v>4580</v>
      </c>
      <c r="C460" s="42">
        <v>327</v>
      </c>
      <c r="D460" s="42">
        <v>641</v>
      </c>
      <c r="E460" s="42">
        <v>1135</v>
      </c>
      <c r="F460" s="42">
        <v>1070</v>
      </c>
      <c r="G460" s="42">
        <v>663</v>
      </c>
      <c r="H460" s="42">
        <v>744</v>
      </c>
    </row>
    <row r="461" spans="1:8" ht="13.5" customHeight="1">
      <c r="A461" s="9" t="s">
        <v>26</v>
      </c>
      <c r="B461" s="42">
        <v>11474</v>
      </c>
      <c r="C461" s="42">
        <v>1313</v>
      </c>
      <c r="D461" s="42">
        <v>3140</v>
      </c>
      <c r="E461" s="42">
        <v>4168</v>
      </c>
      <c r="F461" s="42">
        <v>1844</v>
      </c>
      <c r="G461" s="42">
        <v>651</v>
      </c>
      <c r="H461" s="42">
        <v>358</v>
      </c>
    </row>
    <row r="462" spans="1:8" ht="13.5" customHeight="1">
      <c r="A462" s="9" t="s">
        <v>27</v>
      </c>
      <c r="B462" s="42">
        <v>19506</v>
      </c>
      <c r="C462" s="42">
        <v>2694</v>
      </c>
      <c r="D462" s="42">
        <v>5986</v>
      </c>
      <c r="E462" s="42">
        <v>6603</v>
      </c>
      <c r="F462" s="42">
        <v>2888</v>
      </c>
      <c r="G462" s="42">
        <v>978</v>
      </c>
      <c r="H462" s="42">
        <v>357</v>
      </c>
    </row>
    <row r="463" spans="1:8" ht="13.5" customHeight="1">
      <c r="A463" s="9" t="s">
        <v>28</v>
      </c>
      <c r="B463" s="42">
        <v>15470</v>
      </c>
      <c r="C463" s="42">
        <v>2785</v>
      </c>
      <c r="D463" s="42">
        <v>4482</v>
      </c>
      <c r="E463" s="42">
        <v>4911</v>
      </c>
      <c r="F463" s="42">
        <v>2279</v>
      </c>
      <c r="G463" s="42">
        <v>682</v>
      </c>
      <c r="H463" s="42">
        <v>331</v>
      </c>
    </row>
    <row r="464" spans="1:8" ht="13.5" customHeight="1">
      <c r="A464" s="9" t="s">
        <v>29</v>
      </c>
      <c r="B464" s="42">
        <v>10999</v>
      </c>
      <c r="C464" s="42">
        <v>1988</v>
      </c>
      <c r="D464" s="42">
        <v>3078</v>
      </c>
      <c r="E464" s="42">
        <v>3348</v>
      </c>
      <c r="F464" s="42">
        <v>1766</v>
      </c>
      <c r="G464" s="42">
        <v>589</v>
      </c>
      <c r="H464" s="42">
        <v>230</v>
      </c>
    </row>
    <row r="465" spans="1:8" ht="13.5" customHeight="1">
      <c r="A465" s="9" t="s">
        <v>30</v>
      </c>
      <c r="B465" s="42">
        <v>11855</v>
      </c>
      <c r="C465" s="42">
        <v>2168</v>
      </c>
      <c r="D465" s="42">
        <v>3114</v>
      </c>
      <c r="E465" s="42">
        <v>3808</v>
      </c>
      <c r="F465" s="42">
        <v>1896</v>
      </c>
      <c r="G465" s="42">
        <v>590</v>
      </c>
      <c r="H465" s="42">
        <v>279</v>
      </c>
    </row>
    <row r="466" spans="1:8" ht="13.5" customHeight="1">
      <c r="A466" s="106" t="s">
        <v>41</v>
      </c>
      <c r="B466" s="105"/>
      <c r="C466" s="105"/>
      <c r="D466" s="105"/>
      <c r="E466" s="105"/>
      <c r="F466" s="105"/>
      <c r="G466" s="105"/>
      <c r="H466" s="105"/>
    </row>
    <row r="467" spans="1:8" ht="13.5" customHeight="1">
      <c r="A467" s="10" t="s">
        <v>97</v>
      </c>
      <c r="B467" s="42">
        <v>10986</v>
      </c>
      <c r="C467" s="42">
        <v>9799</v>
      </c>
      <c r="D467" s="42">
        <v>1167</v>
      </c>
      <c r="E467" s="42">
        <v>19</v>
      </c>
      <c r="F467" s="42">
        <v>0</v>
      </c>
      <c r="G467" s="42">
        <v>1</v>
      </c>
      <c r="H467" s="42">
        <v>0</v>
      </c>
    </row>
    <row r="468" spans="1:8" ht="13.5" customHeight="1">
      <c r="A468" s="10" t="s">
        <v>59</v>
      </c>
      <c r="B468" s="42">
        <v>18226</v>
      </c>
      <c r="C468" s="42">
        <v>1520</v>
      </c>
      <c r="D468" s="42">
        <v>14493</v>
      </c>
      <c r="E468" s="42">
        <v>2169</v>
      </c>
      <c r="F468" s="42">
        <v>37</v>
      </c>
      <c r="G468" s="42">
        <v>6</v>
      </c>
      <c r="H468" s="42">
        <v>1</v>
      </c>
    </row>
    <row r="469" spans="1:8" ht="13.5" customHeight="1">
      <c r="A469" s="10" t="s">
        <v>60</v>
      </c>
      <c r="B469" s="42">
        <v>21822</v>
      </c>
      <c r="C469" s="42">
        <v>116</v>
      </c>
      <c r="D469" s="42">
        <v>4567</v>
      </c>
      <c r="E469" s="42">
        <v>15555</v>
      </c>
      <c r="F469" s="42">
        <v>1523</v>
      </c>
      <c r="G469" s="42">
        <v>55</v>
      </c>
      <c r="H469" s="42">
        <v>6</v>
      </c>
    </row>
    <row r="470" spans="1:8" ht="13.5" customHeight="1">
      <c r="A470" s="10" t="s">
        <v>61</v>
      </c>
      <c r="B470" s="42">
        <v>12047</v>
      </c>
      <c r="C470" s="42">
        <v>36</v>
      </c>
      <c r="D470" s="42">
        <v>298</v>
      </c>
      <c r="E470" s="42">
        <v>5661</v>
      </c>
      <c r="F470" s="42">
        <v>5625</v>
      </c>
      <c r="G470" s="42">
        <v>401</v>
      </c>
      <c r="H470" s="42">
        <v>26</v>
      </c>
    </row>
    <row r="471" spans="1:8" ht="13.5" customHeight="1">
      <c r="A471" s="10" t="s">
        <v>62</v>
      </c>
      <c r="B471" s="42">
        <v>6273</v>
      </c>
      <c r="C471" s="42">
        <v>17</v>
      </c>
      <c r="D471" s="42">
        <v>50</v>
      </c>
      <c r="E471" s="42">
        <v>666</v>
      </c>
      <c r="F471" s="42">
        <v>3841</v>
      </c>
      <c r="G471" s="42">
        <v>1563</v>
      </c>
      <c r="H471" s="42">
        <v>136</v>
      </c>
    </row>
    <row r="472" spans="1:8" ht="13.5" customHeight="1">
      <c r="A472" s="10" t="s">
        <v>63</v>
      </c>
      <c r="B472" s="42">
        <v>4245</v>
      </c>
      <c r="C472" s="42">
        <v>14</v>
      </c>
      <c r="D472" s="42">
        <v>20</v>
      </c>
      <c r="E472" s="42">
        <v>193</v>
      </c>
      <c r="F472" s="42">
        <v>1048</v>
      </c>
      <c r="G472" s="42">
        <v>2046</v>
      </c>
      <c r="H472" s="42">
        <v>924</v>
      </c>
    </row>
    <row r="473" spans="1:8" ht="13.5" customHeight="1">
      <c r="A473" s="10" t="s">
        <v>96</v>
      </c>
      <c r="B473" s="42">
        <v>2289</v>
      </c>
      <c r="C473" s="42">
        <v>11</v>
      </c>
      <c r="D473" s="42">
        <v>4</v>
      </c>
      <c r="E473" s="42">
        <v>32</v>
      </c>
      <c r="F473" s="42">
        <v>137</v>
      </c>
      <c r="G473" s="42">
        <v>551</v>
      </c>
      <c r="H473" s="42">
        <v>1554</v>
      </c>
    </row>
    <row r="474" spans="1:8" ht="13.5" customHeight="1">
      <c r="A474" s="10"/>
      <c r="B474" s="42"/>
      <c r="C474" s="42"/>
      <c r="D474" s="42"/>
      <c r="E474" s="42"/>
      <c r="F474" s="42"/>
      <c r="G474" s="42"/>
      <c r="H474" s="42"/>
    </row>
    <row r="475" spans="1:8" ht="13.5" customHeight="1">
      <c r="A475" s="9" t="s">
        <v>84</v>
      </c>
      <c r="B475" s="161"/>
      <c r="C475" s="161"/>
      <c r="D475" s="161"/>
      <c r="E475" s="161"/>
      <c r="F475" s="161"/>
      <c r="G475" s="161"/>
      <c r="H475" s="161"/>
    </row>
    <row r="476" spans="1:8" ht="13.5" customHeight="1">
      <c r="C476"/>
      <c r="D476"/>
      <c r="E476"/>
      <c r="F476"/>
      <c r="G476"/>
    </row>
    <row r="477" spans="1:8" ht="13.5" customHeight="1">
      <c r="A477" s="46" t="s">
        <v>102</v>
      </c>
    </row>
    <row r="480" spans="1:8" ht="13.5" customHeight="1">
      <c r="A480" s="90" t="s">
        <v>103</v>
      </c>
      <c r="B480" s="7"/>
      <c r="C480" s="7"/>
      <c r="D480" s="7"/>
      <c r="E480" s="7"/>
      <c r="F480" s="7"/>
      <c r="G480" s="7"/>
      <c r="H480" s="7"/>
    </row>
    <row r="481" spans="1:11" ht="13.5" customHeight="1">
      <c r="A481" s="41" t="s">
        <v>1</v>
      </c>
      <c r="B481"/>
      <c r="C481"/>
      <c r="D481"/>
      <c r="E481"/>
      <c r="F481"/>
      <c r="G481"/>
      <c r="H481"/>
    </row>
    <row r="482" spans="1:11" ht="13.5" customHeight="1">
      <c r="A482"/>
      <c r="B482"/>
      <c r="C482"/>
      <c r="D482"/>
      <c r="E482"/>
      <c r="F482"/>
      <c r="G482"/>
      <c r="H482"/>
    </row>
    <row r="483" spans="1:11" ht="13.5" customHeight="1">
      <c r="A483" s="101"/>
      <c r="B483" s="99"/>
      <c r="C483" s="103"/>
      <c r="D483" s="103"/>
      <c r="E483" s="103"/>
      <c r="F483" s="103"/>
      <c r="G483" s="103"/>
      <c r="H483" s="104" t="s">
        <v>42</v>
      </c>
      <c r="I483" s="113"/>
      <c r="J483" s="170" t="s">
        <v>126</v>
      </c>
    </row>
    <row r="484" spans="1:11" ht="13.5" customHeight="1">
      <c r="A484" s="102"/>
      <c r="B484" s="100" t="s">
        <v>2</v>
      </c>
      <c r="C484" s="100">
        <v>1</v>
      </c>
      <c r="D484" s="100">
        <v>2</v>
      </c>
      <c r="E484" s="100">
        <v>3</v>
      </c>
      <c r="F484" s="100">
        <v>4</v>
      </c>
      <c r="G484" s="100">
        <v>5</v>
      </c>
      <c r="H484" s="100" t="s">
        <v>66</v>
      </c>
    </row>
    <row r="485" spans="1:11" ht="13.5" customHeight="1">
      <c r="A485" s="37" t="s">
        <v>2</v>
      </c>
      <c r="B485" s="105">
        <v>75183</v>
      </c>
      <c r="C485" s="105">
        <v>11376</v>
      </c>
      <c r="D485" s="105">
        <v>20417</v>
      </c>
      <c r="E485" s="105">
        <v>24106</v>
      </c>
      <c r="F485" s="105">
        <v>12036</v>
      </c>
      <c r="G485" s="105">
        <v>4615</v>
      </c>
      <c r="H485" s="105">
        <v>2633</v>
      </c>
      <c r="K485" s="113"/>
    </row>
    <row r="486" spans="1:11" ht="13.5" customHeight="1">
      <c r="A486" s="37" t="s">
        <v>5</v>
      </c>
      <c r="B486" s="105"/>
      <c r="C486" s="105"/>
      <c r="D486" s="105"/>
      <c r="E486" s="105"/>
      <c r="F486" s="105"/>
      <c r="G486" s="105"/>
      <c r="H486" s="105"/>
    </row>
    <row r="487" spans="1:11" ht="13.5" customHeight="1">
      <c r="A487" s="9" t="s">
        <v>6</v>
      </c>
      <c r="B487" s="42">
        <v>2236</v>
      </c>
      <c r="C487" s="42">
        <v>14</v>
      </c>
      <c r="D487" s="42">
        <v>42</v>
      </c>
      <c r="E487" s="42">
        <v>174</v>
      </c>
      <c r="F487" s="42">
        <v>441</v>
      </c>
      <c r="G487" s="42">
        <v>723</v>
      </c>
      <c r="H487" s="42">
        <v>842</v>
      </c>
    </row>
    <row r="488" spans="1:11" ht="13.5" customHeight="1">
      <c r="A488" s="9" t="s">
        <v>7</v>
      </c>
      <c r="B488" s="42">
        <v>44606</v>
      </c>
      <c r="C488" s="42">
        <v>6029</v>
      </c>
      <c r="D488" s="42">
        <v>12533</v>
      </c>
      <c r="E488" s="42">
        <v>15091</v>
      </c>
      <c r="F488" s="42">
        <v>7404</v>
      </c>
      <c r="G488" s="42">
        <v>2495</v>
      </c>
      <c r="H488" s="42">
        <v>1054</v>
      </c>
    </row>
    <row r="489" spans="1:11" ht="13.5" customHeight="1">
      <c r="A489" s="10" t="s">
        <v>8</v>
      </c>
      <c r="B489" s="42">
        <v>27115</v>
      </c>
      <c r="C489" s="42">
        <v>4968</v>
      </c>
      <c r="D489" s="42">
        <v>7571</v>
      </c>
      <c r="E489" s="42">
        <v>8580</v>
      </c>
      <c r="F489" s="42">
        <v>4002</v>
      </c>
      <c r="G489" s="42">
        <v>1317</v>
      </c>
      <c r="H489" s="42">
        <v>677</v>
      </c>
      <c r="J489" s="113"/>
    </row>
    <row r="490" spans="1:11" ht="13.5" customHeight="1">
      <c r="A490" s="10" t="s">
        <v>65</v>
      </c>
      <c r="B490" s="42">
        <v>1226</v>
      </c>
      <c r="C490" s="42">
        <v>365</v>
      </c>
      <c r="D490" s="42">
        <v>271</v>
      </c>
      <c r="E490" s="42">
        <v>261</v>
      </c>
      <c r="F490" s="42">
        <v>189</v>
      </c>
      <c r="G490" s="42">
        <v>80</v>
      </c>
      <c r="H490" s="42">
        <v>60</v>
      </c>
    </row>
    <row r="491" spans="1:11" ht="13.5" customHeight="1">
      <c r="A491" s="106" t="s">
        <v>39</v>
      </c>
      <c r="B491" s="105"/>
      <c r="C491" s="105"/>
      <c r="D491" s="105"/>
      <c r="E491" s="105"/>
      <c r="F491" s="105"/>
      <c r="G491" s="105"/>
      <c r="H491" s="105"/>
    </row>
    <row r="492" spans="1:11" ht="13.5" customHeight="1">
      <c r="A492" s="9" t="s">
        <v>10</v>
      </c>
      <c r="B492" s="42">
        <v>12436</v>
      </c>
      <c r="C492" s="42">
        <v>1606</v>
      </c>
      <c r="D492" s="42">
        <v>2623</v>
      </c>
      <c r="E492" s="42">
        <v>3885</v>
      </c>
      <c r="F492" s="42">
        <v>2155</v>
      </c>
      <c r="G492" s="42">
        <v>1237</v>
      </c>
      <c r="H492" s="42">
        <v>930</v>
      </c>
    </row>
    <row r="493" spans="1:11" ht="13.5" customHeight="1">
      <c r="A493" s="9" t="s">
        <v>11</v>
      </c>
      <c r="B493" s="42">
        <v>14656</v>
      </c>
      <c r="C493" s="42">
        <v>2043</v>
      </c>
      <c r="D493" s="42">
        <v>4856</v>
      </c>
      <c r="E493" s="42">
        <v>4766</v>
      </c>
      <c r="F493" s="42">
        <v>1661</v>
      </c>
      <c r="G493" s="42">
        <v>790</v>
      </c>
      <c r="H493" s="42">
        <v>540</v>
      </c>
    </row>
    <row r="494" spans="1:11" ht="13.5" customHeight="1">
      <c r="A494" s="9" t="s">
        <v>12</v>
      </c>
      <c r="B494" s="42">
        <v>17995</v>
      </c>
      <c r="C494" s="42">
        <v>2653</v>
      </c>
      <c r="D494" s="42">
        <v>6794</v>
      </c>
      <c r="E494" s="42">
        <v>5901</v>
      </c>
      <c r="F494" s="42">
        <v>1753</v>
      </c>
      <c r="G494" s="42">
        <v>565</v>
      </c>
      <c r="H494" s="42">
        <v>329</v>
      </c>
    </row>
    <row r="495" spans="1:11" ht="13.5" customHeight="1">
      <c r="A495" s="9" t="s">
        <v>13</v>
      </c>
      <c r="B495" s="42">
        <v>13764</v>
      </c>
      <c r="C495" s="42">
        <v>3086</v>
      </c>
      <c r="D495" s="42">
        <v>3240</v>
      </c>
      <c r="E495" s="42">
        <v>4624</v>
      </c>
      <c r="F495" s="42">
        <v>1911</v>
      </c>
      <c r="G495" s="42">
        <v>531</v>
      </c>
      <c r="H495" s="42">
        <v>372</v>
      </c>
    </row>
    <row r="496" spans="1:11" ht="13.5" customHeight="1">
      <c r="A496" s="9" t="s">
        <v>14</v>
      </c>
      <c r="B496" s="42">
        <v>5811</v>
      </c>
      <c r="C496" s="42">
        <v>1210</v>
      </c>
      <c r="D496" s="42">
        <v>1045</v>
      </c>
      <c r="E496" s="42">
        <v>1808</v>
      </c>
      <c r="F496" s="42">
        <v>1225</v>
      </c>
      <c r="G496" s="42">
        <v>409</v>
      </c>
      <c r="H496" s="42">
        <v>114</v>
      </c>
    </row>
    <row r="497" spans="1:8" ht="13.5" customHeight="1">
      <c r="A497" s="9" t="s">
        <v>15</v>
      </c>
      <c r="B497" s="42">
        <v>1825</v>
      </c>
      <c r="C497" s="42">
        <v>66</v>
      </c>
      <c r="D497" s="42">
        <v>300</v>
      </c>
      <c r="E497" s="42">
        <v>521</v>
      </c>
      <c r="F497" s="42">
        <v>652</v>
      </c>
      <c r="G497" s="42">
        <v>214</v>
      </c>
      <c r="H497" s="42">
        <v>72</v>
      </c>
    </row>
    <row r="498" spans="1:8" ht="13.5" customHeight="1">
      <c r="A498" s="9" t="s">
        <v>16</v>
      </c>
      <c r="B498" s="42">
        <v>1753</v>
      </c>
      <c r="C498" s="42">
        <v>121</v>
      </c>
      <c r="D498" s="42">
        <v>365</v>
      </c>
      <c r="E498" s="42">
        <v>522</v>
      </c>
      <c r="F498" s="42">
        <v>517</v>
      </c>
      <c r="G498" s="42">
        <v>180</v>
      </c>
      <c r="H498" s="42">
        <v>48</v>
      </c>
    </row>
    <row r="499" spans="1:8" ht="13.5" customHeight="1">
      <c r="A499" s="9" t="s">
        <v>17</v>
      </c>
      <c r="B499" s="42">
        <v>1012</v>
      </c>
      <c r="C499" s="42">
        <v>197</v>
      </c>
      <c r="D499" s="42">
        <v>224</v>
      </c>
      <c r="E499" s="42">
        <v>304</v>
      </c>
      <c r="F499" s="42">
        <v>161</v>
      </c>
      <c r="G499" s="42">
        <v>104</v>
      </c>
      <c r="H499" s="42">
        <v>22</v>
      </c>
    </row>
    <row r="500" spans="1:8" ht="13.5" customHeight="1">
      <c r="A500" s="9" t="s">
        <v>18</v>
      </c>
      <c r="B500" s="42">
        <v>965</v>
      </c>
      <c r="C500" s="42">
        <v>16</v>
      </c>
      <c r="D500" s="42">
        <v>112</v>
      </c>
      <c r="E500" s="42">
        <v>360</v>
      </c>
      <c r="F500" s="42">
        <v>315</v>
      </c>
      <c r="G500" s="42">
        <v>111</v>
      </c>
      <c r="H500" s="42">
        <v>51</v>
      </c>
    </row>
    <row r="501" spans="1:8" ht="13.5" customHeight="1">
      <c r="A501" s="9" t="s">
        <v>19</v>
      </c>
      <c r="B501" s="42">
        <v>995</v>
      </c>
      <c r="C501" s="42">
        <v>36</v>
      </c>
      <c r="D501" s="42">
        <v>84</v>
      </c>
      <c r="E501" s="42">
        <v>225</v>
      </c>
      <c r="F501" s="42">
        <v>436</v>
      </c>
      <c r="G501" s="42">
        <v>167</v>
      </c>
      <c r="H501" s="42">
        <v>47</v>
      </c>
    </row>
    <row r="502" spans="1:8" ht="13.5" customHeight="1">
      <c r="A502" s="9" t="s">
        <v>20</v>
      </c>
      <c r="B502" s="42">
        <v>2224</v>
      </c>
      <c r="C502" s="42">
        <v>118</v>
      </c>
      <c r="D502" s="42">
        <v>353</v>
      </c>
      <c r="E502" s="42">
        <v>605</v>
      </c>
      <c r="F502" s="42">
        <v>856</v>
      </c>
      <c r="G502" s="42">
        <v>213</v>
      </c>
      <c r="H502" s="42">
        <v>79</v>
      </c>
    </row>
    <row r="503" spans="1:8" ht="13.5" customHeight="1">
      <c r="A503" s="9" t="s">
        <v>132</v>
      </c>
      <c r="B503" s="42">
        <v>1747</v>
      </c>
      <c r="C503" s="42">
        <v>224</v>
      </c>
      <c r="D503" s="42">
        <v>421</v>
      </c>
      <c r="E503" s="42">
        <v>585</v>
      </c>
      <c r="F503" s="42">
        <v>394</v>
      </c>
      <c r="G503" s="42">
        <v>94</v>
      </c>
      <c r="H503" s="42">
        <v>29</v>
      </c>
    </row>
    <row r="504" spans="1:8" ht="13.5" customHeight="1">
      <c r="A504" s="106" t="s">
        <v>40</v>
      </c>
      <c r="B504" s="105"/>
      <c r="C504" s="105"/>
      <c r="D504" s="105"/>
      <c r="E504" s="105"/>
      <c r="F504" s="105"/>
      <c r="G504" s="105"/>
      <c r="H504" s="105"/>
    </row>
    <row r="505" spans="1:8" ht="13.5" customHeight="1">
      <c r="A505" s="9" t="s">
        <v>23</v>
      </c>
      <c r="B505" s="42">
        <v>156</v>
      </c>
      <c r="C505" s="42">
        <v>56</v>
      </c>
      <c r="D505" s="42">
        <v>22</v>
      </c>
      <c r="E505" s="42">
        <v>33</v>
      </c>
      <c r="F505" s="42">
        <v>23</v>
      </c>
      <c r="G505" s="42">
        <v>13</v>
      </c>
      <c r="H505" s="42">
        <v>9</v>
      </c>
    </row>
    <row r="506" spans="1:8" ht="13.5" customHeight="1">
      <c r="A506" s="9" t="s">
        <v>24</v>
      </c>
      <c r="B506" s="42">
        <v>1851</v>
      </c>
      <c r="C506" s="42">
        <v>184</v>
      </c>
      <c r="D506" s="42">
        <v>134</v>
      </c>
      <c r="E506" s="42">
        <v>291</v>
      </c>
      <c r="F506" s="42">
        <v>443</v>
      </c>
      <c r="G506" s="42">
        <v>457</v>
      </c>
      <c r="H506" s="42">
        <v>342</v>
      </c>
    </row>
    <row r="507" spans="1:8" ht="13.5" customHeight="1">
      <c r="A507" s="9" t="s">
        <v>25</v>
      </c>
      <c r="B507" s="42">
        <v>4528</v>
      </c>
      <c r="C507" s="42">
        <v>305</v>
      </c>
      <c r="D507" s="42">
        <v>631</v>
      </c>
      <c r="E507" s="42">
        <v>1116</v>
      </c>
      <c r="F507" s="42">
        <v>1067</v>
      </c>
      <c r="G507" s="42">
        <v>666</v>
      </c>
      <c r="H507" s="42">
        <v>743</v>
      </c>
    </row>
    <row r="508" spans="1:8" ht="13.5" customHeight="1">
      <c r="A508" s="9" t="s">
        <v>26</v>
      </c>
      <c r="B508" s="42">
        <v>11511</v>
      </c>
      <c r="C508" s="42">
        <v>1336</v>
      </c>
      <c r="D508" s="42">
        <v>3157</v>
      </c>
      <c r="E508" s="42">
        <v>4181</v>
      </c>
      <c r="F508" s="42">
        <v>1829</v>
      </c>
      <c r="G508" s="42">
        <v>651</v>
      </c>
      <c r="H508" s="42">
        <v>357</v>
      </c>
    </row>
    <row r="509" spans="1:8" ht="13.5" customHeight="1">
      <c r="A509" s="9" t="s">
        <v>27</v>
      </c>
      <c r="B509" s="42">
        <v>19280</v>
      </c>
      <c r="C509" s="42">
        <v>2611</v>
      </c>
      <c r="D509" s="42">
        <v>5917</v>
      </c>
      <c r="E509" s="42">
        <v>6557</v>
      </c>
      <c r="F509" s="42">
        <v>2852</v>
      </c>
      <c r="G509" s="42">
        <v>975</v>
      </c>
      <c r="H509" s="42">
        <v>368</v>
      </c>
    </row>
    <row r="510" spans="1:8" ht="13.5" customHeight="1">
      <c r="A510" s="9" t="s">
        <v>28</v>
      </c>
      <c r="B510" s="42">
        <v>15357</v>
      </c>
      <c r="C510" s="42">
        <v>2803</v>
      </c>
      <c r="D510" s="42">
        <v>4435</v>
      </c>
      <c r="E510" s="42">
        <v>4883</v>
      </c>
      <c r="F510" s="42">
        <v>2239</v>
      </c>
      <c r="G510" s="42">
        <v>677</v>
      </c>
      <c r="H510" s="42">
        <v>320</v>
      </c>
    </row>
    <row r="511" spans="1:8" ht="13.5" customHeight="1">
      <c r="A511" s="9" t="s">
        <v>29</v>
      </c>
      <c r="B511" s="42">
        <v>10763</v>
      </c>
      <c r="C511" s="42">
        <v>1949</v>
      </c>
      <c r="D511" s="42">
        <v>3042</v>
      </c>
      <c r="E511" s="42">
        <v>3262</v>
      </c>
      <c r="F511" s="42">
        <v>1709</v>
      </c>
      <c r="G511" s="42">
        <v>584</v>
      </c>
      <c r="H511" s="42">
        <v>217</v>
      </c>
    </row>
    <row r="512" spans="1:8" ht="13.5" customHeight="1">
      <c r="A512" s="9" t="s">
        <v>30</v>
      </c>
      <c r="B512" s="42">
        <v>11737</v>
      </c>
      <c r="C512" s="42">
        <v>2132</v>
      </c>
      <c r="D512" s="42">
        <v>3079</v>
      </c>
      <c r="E512" s="42">
        <v>3783</v>
      </c>
      <c r="F512" s="42">
        <v>1874</v>
      </c>
      <c r="G512" s="42">
        <v>592</v>
      </c>
      <c r="H512" s="42">
        <v>277</v>
      </c>
    </row>
    <row r="513" spans="1:9" ht="13.5" customHeight="1">
      <c r="A513" s="106" t="s">
        <v>41</v>
      </c>
      <c r="B513" s="105"/>
      <c r="C513" s="105"/>
      <c r="D513" s="105"/>
      <c r="E513" s="105"/>
      <c r="F513" s="105"/>
      <c r="G513" s="105"/>
      <c r="H513" s="105"/>
      <c r="I513" s="174"/>
    </row>
    <row r="514" spans="1:9" ht="13.5" customHeight="1">
      <c r="A514" s="10" t="s">
        <v>97</v>
      </c>
      <c r="B514" s="42">
        <v>10867</v>
      </c>
      <c r="C514" s="42">
        <v>9677</v>
      </c>
      <c r="D514" s="42">
        <v>1169</v>
      </c>
      <c r="E514" s="42">
        <v>19</v>
      </c>
      <c r="F514" s="42">
        <v>1</v>
      </c>
      <c r="G514" s="42">
        <v>1</v>
      </c>
      <c r="H514" s="42">
        <v>0</v>
      </c>
      <c r="I514" s="174"/>
    </row>
    <row r="515" spans="1:9" ht="13.5" customHeight="1">
      <c r="A515" s="10" t="s">
        <v>59</v>
      </c>
      <c r="B515" s="42">
        <v>18087</v>
      </c>
      <c r="C515" s="42">
        <v>1511</v>
      </c>
      <c r="D515" s="42">
        <v>14361</v>
      </c>
      <c r="E515" s="42">
        <v>2170</v>
      </c>
      <c r="F515" s="42">
        <v>40</v>
      </c>
      <c r="G515" s="42">
        <v>5</v>
      </c>
      <c r="H515" s="42">
        <v>0</v>
      </c>
      <c r="I515" s="174"/>
    </row>
    <row r="516" spans="1:9" ht="13.5" customHeight="1">
      <c r="A516" s="10" t="s">
        <v>60</v>
      </c>
      <c r="B516" s="42">
        <v>21743</v>
      </c>
      <c r="C516" s="42">
        <v>115</v>
      </c>
      <c r="D516" s="42">
        <v>4515</v>
      </c>
      <c r="E516" s="42">
        <v>15528</v>
      </c>
      <c r="F516" s="42">
        <v>1521</v>
      </c>
      <c r="G516" s="42">
        <v>55</v>
      </c>
      <c r="H516" s="42">
        <v>9</v>
      </c>
      <c r="I516" s="174"/>
    </row>
    <row r="517" spans="1:9" ht="13.5" customHeight="1">
      <c r="A517" s="10" t="s">
        <v>61</v>
      </c>
      <c r="B517" s="42">
        <v>11829</v>
      </c>
      <c r="C517" s="42">
        <v>36</v>
      </c>
      <c r="D517" s="42">
        <v>295</v>
      </c>
      <c r="E517" s="42">
        <v>5505</v>
      </c>
      <c r="F517" s="42">
        <v>5568</v>
      </c>
      <c r="G517" s="42">
        <v>402</v>
      </c>
      <c r="H517" s="42">
        <v>23</v>
      </c>
      <c r="I517" s="174"/>
    </row>
    <row r="518" spans="1:9" ht="13.5" customHeight="1">
      <c r="A518" s="10" t="s">
        <v>62</v>
      </c>
      <c r="B518" s="42">
        <v>6163</v>
      </c>
      <c r="C518" s="42">
        <v>15</v>
      </c>
      <c r="D518" s="42">
        <v>52</v>
      </c>
      <c r="E518" s="42">
        <v>652</v>
      </c>
      <c r="F518" s="42">
        <v>3745</v>
      </c>
      <c r="G518" s="42">
        <v>1560</v>
      </c>
      <c r="H518" s="42">
        <v>139</v>
      </c>
      <c r="I518" s="174"/>
    </row>
    <row r="519" spans="1:9" ht="13.5" customHeight="1">
      <c r="A519" s="10" t="s">
        <v>63</v>
      </c>
      <c r="B519" s="42">
        <v>4211</v>
      </c>
      <c r="C519" s="42">
        <v>13</v>
      </c>
      <c r="D519" s="42">
        <v>20</v>
      </c>
      <c r="E519" s="42">
        <v>193</v>
      </c>
      <c r="F519" s="42">
        <v>1026</v>
      </c>
      <c r="G519" s="42">
        <v>2043</v>
      </c>
      <c r="H519" s="42">
        <v>916</v>
      </c>
      <c r="I519" s="174"/>
    </row>
    <row r="520" spans="1:9" ht="13.5" customHeight="1">
      <c r="A520" s="10" t="s">
        <v>96</v>
      </c>
      <c r="B520" s="42">
        <v>2283</v>
      </c>
      <c r="C520" s="42">
        <v>9</v>
      </c>
      <c r="D520" s="42">
        <v>5</v>
      </c>
      <c r="E520" s="42">
        <v>39</v>
      </c>
      <c r="F520" s="42">
        <v>135</v>
      </c>
      <c r="G520" s="42">
        <v>549</v>
      </c>
      <c r="H520" s="42">
        <v>1546</v>
      </c>
      <c r="I520" s="174"/>
    </row>
    <row r="521" spans="1:9" ht="13.5" customHeight="1">
      <c r="A521" s="10"/>
      <c r="B521" s="42"/>
      <c r="C521" s="42"/>
      <c r="D521" s="42"/>
      <c r="E521" s="42"/>
      <c r="F521" s="42"/>
      <c r="G521" s="42"/>
      <c r="H521" s="42"/>
    </row>
    <row r="522" spans="1:9" ht="13.5" customHeight="1">
      <c r="A522" s="9" t="s">
        <v>84</v>
      </c>
      <c r="B522" s="161"/>
      <c r="C522" s="161"/>
      <c r="D522" s="161"/>
      <c r="E522" s="161"/>
      <c r="F522" s="161"/>
      <c r="G522" s="161"/>
      <c r="H522" s="161"/>
    </row>
    <row r="524" spans="1:9" ht="13.5" customHeight="1">
      <c r="A524" s="46" t="s">
        <v>102</v>
      </c>
    </row>
    <row r="527" spans="1:9" ht="13.5" customHeight="1">
      <c r="A527" s="90" t="s">
        <v>89</v>
      </c>
      <c r="B527" s="91"/>
      <c r="C527" s="91"/>
      <c r="D527" s="91"/>
      <c r="E527" s="91"/>
      <c r="F527" s="92"/>
      <c r="G527" s="91"/>
      <c r="H527" s="93"/>
    </row>
    <row r="528" spans="1:9" ht="13.5" customHeight="1">
      <c r="A528" s="41" t="s">
        <v>1</v>
      </c>
      <c r="B528" s="43"/>
      <c r="C528" s="43"/>
      <c r="D528" s="41"/>
      <c r="E528" s="41"/>
      <c r="F528" s="41"/>
      <c r="G528" s="41"/>
      <c r="H528" s="35"/>
    </row>
    <row r="529" spans="1:10" ht="13.5" customHeight="1">
      <c r="A529" s="41"/>
      <c r="B529" s="43"/>
      <c r="C529" s="43"/>
      <c r="D529" s="41"/>
      <c r="E529" s="41"/>
      <c r="F529" s="41"/>
      <c r="G529" s="41"/>
      <c r="H529" s="44"/>
    </row>
    <row r="530" spans="1:10" ht="13.5" customHeight="1">
      <c r="A530" s="101"/>
      <c r="B530" s="99"/>
      <c r="C530" s="103"/>
      <c r="D530" s="103"/>
      <c r="E530" s="103"/>
      <c r="F530" s="103"/>
      <c r="G530" s="103"/>
      <c r="H530" s="104" t="s">
        <v>42</v>
      </c>
      <c r="J530" s="170" t="s">
        <v>126</v>
      </c>
    </row>
    <row r="531" spans="1:10" ht="13.5" customHeight="1">
      <c r="A531" s="102"/>
      <c r="B531" s="100" t="s">
        <v>2</v>
      </c>
      <c r="C531" s="100">
        <v>1</v>
      </c>
      <c r="D531" s="100">
        <v>2</v>
      </c>
      <c r="E531" s="100">
        <v>3</v>
      </c>
      <c r="F531" s="100">
        <v>4</v>
      </c>
      <c r="G531" s="100">
        <v>5</v>
      </c>
      <c r="H531" s="100" t="s">
        <v>66</v>
      </c>
    </row>
    <row r="532" spans="1:10" ht="13.5" customHeight="1">
      <c r="A532" s="37" t="s">
        <v>2</v>
      </c>
      <c r="B532" s="105">
        <v>75025</v>
      </c>
      <c r="C532" s="105">
        <v>11427</v>
      </c>
      <c r="D532" s="105">
        <v>20405</v>
      </c>
      <c r="E532" s="105">
        <v>24010</v>
      </c>
      <c r="F532" s="105">
        <v>11931</v>
      </c>
      <c r="G532" s="105">
        <v>4612</v>
      </c>
      <c r="H532" s="105">
        <v>2640</v>
      </c>
    </row>
    <row r="533" spans="1:10" ht="13.5" customHeight="1">
      <c r="A533" s="37" t="s">
        <v>5</v>
      </c>
      <c r="B533" s="105"/>
      <c r="C533" s="105"/>
      <c r="D533" s="105"/>
      <c r="E533" s="105"/>
      <c r="F533" s="105"/>
      <c r="G533" s="105"/>
      <c r="H533" s="105"/>
    </row>
    <row r="534" spans="1:10" ht="13.5" customHeight="1">
      <c r="A534" s="9" t="s">
        <v>6</v>
      </c>
      <c r="B534" s="42">
        <v>2241</v>
      </c>
      <c r="C534" s="42">
        <v>13</v>
      </c>
      <c r="D534" s="42">
        <v>42</v>
      </c>
      <c r="E534" s="42">
        <v>174</v>
      </c>
      <c r="F534" s="42">
        <v>448</v>
      </c>
      <c r="G534" s="42">
        <v>722</v>
      </c>
      <c r="H534" s="42">
        <v>842</v>
      </c>
    </row>
    <row r="535" spans="1:10" ht="13.5" customHeight="1">
      <c r="A535" s="9" t="s">
        <v>7</v>
      </c>
      <c r="B535" s="42">
        <v>44542</v>
      </c>
      <c r="C535" s="42">
        <v>6090</v>
      </c>
      <c r="D535" s="42">
        <v>12555</v>
      </c>
      <c r="E535" s="42">
        <v>15042</v>
      </c>
      <c r="F535" s="42">
        <v>7316</v>
      </c>
      <c r="G535" s="42">
        <v>2482</v>
      </c>
      <c r="H535" s="42">
        <v>1057</v>
      </c>
    </row>
    <row r="536" spans="1:10" ht="13.5" customHeight="1">
      <c r="A536" s="10" t="s">
        <v>8</v>
      </c>
      <c r="B536" s="42">
        <v>27008</v>
      </c>
      <c r="C536" s="42">
        <v>4961</v>
      </c>
      <c r="D536" s="42">
        <v>7542</v>
      </c>
      <c r="E536" s="42">
        <v>8529</v>
      </c>
      <c r="F536" s="42">
        <v>3974</v>
      </c>
      <c r="G536" s="42">
        <v>1324</v>
      </c>
      <c r="H536" s="42">
        <v>678</v>
      </c>
    </row>
    <row r="537" spans="1:10" ht="13.5" customHeight="1">
      <c r="A537" s="10" t="s">
        <v>65</v>
      </c>
      <c r="B537" s="42">
        <v>1234</v>
      </c>
      <c r="C537" s="42">
        <v>363</v>
      </c>
      <c r="D537" s="42">
        <v>266</v>
      </c>
      <c r="E537" s="42">
        <v>265</v>
      </c>
      <c r="F537" s="42">
        <v>193</v>
      </c>
      <c r="G537" s="42">
        <v>84</v>
      </c>
      <c r="H537" s="42">
        <v>63</v>
      </c>
    </row>
    <row r="538" spans="1:10" ht="13.5" customHeight="1">
      <c r="A538" s="106" t="s">
        <v>39</v>
      </c>
      <c r="B538" s="105"/>
      <c r="C538" s="105"/>
      <c r="D538" s="105"/>
      <c r="E538" s="105"/>
      <c r="F538" s="105"/>
      <c r="G538" s="105"/>
      <c r="H538" s="105"/>
    </row>
    <row r="539" spans="1:10" ht="13.5" customHeight="1">
      <c r="A539" s="9" t="s">
        <v>10</v>
      </c>
      <c r="B539" s="42">
        <v>12440</v>
      </c>
      <c r="C539" s="42">
        <v>1604</v>
      </c>
      <c r="D539" s="42">
        <v>2633</v>
      </c>
      <c r="E539" s="42">
        <v>3875</v>
      </c>
      <c r="F539" s="42">
        <v>2160</v>
      </c>
      <c r="G539" s="42">
        <v>1241</v>
      </c>
      <c r="H539" s="42">
        <v>927</v>
      </c>
    </row>
    <row r="540" spans="1:10" ht="13.5" customHeight="1">
      <c r="A540" s="9" t="s">
        <v>11</v>
      </c>
      <c r="B540" s="42">
        <v>14691</v>
      </c>
      <c r="C540" s="42">
        <v>2040</v>
      </c>
      <c r="D540" s="42">
        <v>4866</v>
      </c>
      <c r="E540" s="42">
        <v>4781</v>
      </c>
      <c r="F540" s="42">
        <v>1672</v>
      </c>
      <c r="G540" s="42">
        <v>784</v>
      </c>
      <c r="H540" s="42">
        <v>548</v>
      </c>
    </row>
    <row r="541" spans="1:10" ht="13.5" customHeight="1">
      <c r="A541" s="9" t="s">
        <v>12</v>
      </c>
      <c r="B541" s="42">
        <v>18127</v>
      </c>
      <c r="C541" s="42">
        <v>2672</v>
      </c>
      <c r="D541" s="42">
        <v>6856</v>
      </c>
      <c r="E541" s="42">
        <v>5948</v>
      </c>
      <c r="F541" s="42">
        <v>1755</v>
      </c>
      <c r="G541" s="42">
        <v>565</v>
      </c>
      <c r="H541" s="42">
        <v>331</v>
      </c>
    </row>
    <row r="542" spans="1:10" ht="13.5" customHeight="1">
      <c r="A542" s="9" t="s">
        <v>13</v>
      </c>
      <c r="B542" s="42">
        <v>13825</v>
      </c>
      <c r="C542" s="42">
        <v>3153</v>
      </c>
      <c r="D542" s="42">
        <v>3235</v>
      </c>
      <c r="E542" s="42">
        <v>4617</v>
      </c>
      <c r="F542" s="42">
        <v>1906</v>
      </c>
      <c r="G542" s="42">
        <v>540</v>
      </c>
      <c r="H542" s="42">
        <v>374</v>
      </c>
    </row>
    <row r="543" spans="1:10" ht="13.5" customHeight="1">
      <c r="A543" s="9" t="s">
        <v>14</v>
      </c>
      <c r="B543" s="42">
        <v>5829</v>
      </c>
      <c r="C543" s="42">
        <v>1221</v>
      </c>
      <c r="D543" s="42">
        <v>1047</v>
      </c>
      <c r="E543" s="42">
        <v>1811</v>
      </c>
      <c r="F543" s="42">
        <v>1224</v>
      </c>
      <c r="G543" s="42">
        <v>412</v>
      </c>
      <c r="H543" s="42">
        <v>114</v>
      </c>
    </row>
    <row r="544" spans="1:10" ht="13.5" customHeight="1">
      <c r="A544" s="9" t="s">
        <v>15</v>
      </c>
      <c r="B544" s="42">
        <v>1826</v>
      </c>
      <c r="C544" s="42">
        <v>66</v>
      </c>
      <c r="D544" s="42">
        <v>300</v>
      </c>
      <c r="E544" s="42">
        <v>521</v>
      </c>
      <c r="F544" s="42">
        <v>652</v>
      </c>
      <c r="G544" s="42">
        <v>214</v>
      </c>
      <c r="H544" s="42">
        <v>73</v>
      </c>
    </row>
    <row r="545" spans="1:8" ht="13.5" customHeight="1">
      <c r="A545" s="9" t="s">
        <v>16</v>
      </c>
      <c r="B545" s="42">
        <v>1748</v>
      </c>
      <c r="C545" s="42">
        <v>119</v>
      </c>
      <c r="D545" s="42">
        <v>365</v>
      </c>
      <c r="E545" s="42">
        <v>521</v>
      </c>
      <c r="F545" s="42">
        <v>516</v>
      </c>
      <c r="G545" s="42">
        <v>180</v>
      </c>
      <c r="H545" s="42">
        <v>47</v>
      </c>
    </row>
    <row r="546" spans="1:8" ht="13.5" customHeight="1">
      <c r="A546" s="9" t="s">
        <v>17</v>
      </c>
      <c r="B546" s="42">
        <v>992</v>
      </c>
      <c r="C546" s="42">
        <v>186</v>
      </c>
      <c r="D546" s="42">
        <v>222</v>
      </c>
      <c r="E546" s="42">
        <v>298</v>
      </c>
      <c r="F546" s="42">
        <v>161</v>
      </c>
      <c r="G546" s="42">
        <v>103</v>
      </c>
      <c r="H546" s="42">
        <v>22</v>
      </c>
    </row>
    <row r="547" spans="1:8" ht="13.5" customHeight="1">
      <c r="A547" s="9" t="s">
        <v>18</v>
      </c>
      <c r="B547" s="42">
        <v>965</v>
      </c>
      <c r="C547" s="42">
        <v>16</v>
      </c>
      <c r="D547" s="42">
        <v>112</v>
      </c>
      <c r="E547" s="42">
        <v>360</v>
      </c>
      <c r="F547" s="42">
        <v>315</v>
      </c>
      <c r="G547" s="42">
        <v>111</v>
      </c>
      <c r="H547" s="42">
        <v>51</v>
      </c>
    </row>
    <row r="548" spans="1:8" ht="13.5" customHeight="1">
      <c r="A548" s="9" t="s">
        <v>19</v>
      </c>
      <c r="B548" s="42">
        <v>994</v>
      </c>
      <c r="C548" s="42">
        <v>36</v>
      </c>
      <c r="D548" s="42">
        <v>85</v>
      </c>
      <c r="E548" s="42">
        <v>224</v>
      </c>
      <c r="F548" s="42">
        <v>435</v>
      </c>
      <c r="G548" s="42">
        <v>167</v>
      </c>
      <c r="H548" s="42">
        <v>47</v>
      </c>
    </row>
    <row r="549" spans="1:8" ht="13.5" customHeight="1">
      <c r="A549" s="9" t="s">
        <v>20</v>
      </c>
      <c r="B549" s="42">
        <v>2220</v>
      </c>
      <c r="C549" s="42">
        <v>118</v>
      </c>
      <c r="D549" s="42">
        <v>353</v>
      </c>
      <c r="E549" s="42">
        <v>604</v>
      </c>
      <c r="F549" s="42">
        <v>853</v>
      </c>
      <c r="G549" s="42">
        <v>213</v>
      </c>
      <c r="H549" s="42">
        <v>79</v>
      </c>
    </row>
    <row r="550" spans="1:8" ht="13.5" customHeight="1">
      <c r="A550" s="9" t="s">
        <v>132</v>
      </c>
      <c r="B550" s="42">
        <v>1368</v>
      </c>
      <c r="C550" s="42">
        <v>196</v>
      </c>
      <c r="D550" s="42">
        <v>331</v>
      </c>
      <c r="E550" s="42">
        <v>450</v>
      </c>
      <c r="F550" s="42">
        <v>282</v>
      </c>
      <c r="G550" s="42">
        <v>82</v>
      </c>
      <c r="H550" s="42">
        <v>27</v>
      </c>
    </row>
    <row r="551" spans="1:8" ht="13.5" customHeight="1">
      <c r="A551" s="106" t="s">
        <v>40</v>
      </c>
      <c r="B551" s="105"/>
      <c r="C551" s="105"/>
      <c r="D551" s="105"/>
      <c r="E551" s="105"/>
      <c r="F551" s="105"/>
      <c r="G551" s="105"/>
      <c r="H551" s="105"/>
    </row>
    <row r="552" spans="1:8" ht="13.5" customHeight="1">
      <c r="A552" s="9" t="s">
        <v>23</v>
      </c>
      <c r="B552" s="42">
        <v>154</v>
      </c>
      <c r="C552" s="42">
        <v>56</v>
      </c>
      <c r="D552" s="42">
        <v>22</v>
      </c>
      <c r="E552" s="42">
        <v>32</v>
      </c>
      <c r="F552" s="42">
        <v>23</v>
      </c>
      <c r="G552" s="42">
        <v>12</v>
      </c>
      <c r="H552" s="42">
        <v>9</v>
      </c>
    </row>
    <row r="553" spans="1:8" ht="13.5" customHeight="1">
      <c r="A553" s="9" t="s">
        <v>24</v>
      </c>
      <c r="B553" s="42">
        <v>1844</v>
      </c>
      <c r="C553" s="42">
        <v>183</v>
      </c>
      <c r="D553" s="42">
        <v>131</v>
      </c>
      <c r="E553" s="42">
        <v>289</v>
      </c>
      <c r="F553" s="42">
        <v>442</v>
      </c>
      <c r="G553" s="42">
        <v>455</v>
      </c>
      <c r="H553" s="42">
        <v>344</v>
      </c>
    </row>
    <row r="554" spans="1:8" ht="13.5" customHeight="1">
      <c r="A554" s="9" t="s">
        <v>25</v>
      </c>
      <c r="B554" s="42">
        <v>4506</v>
      </c>
      <c r="C554" s="42">
        <v>298</v>
      </c>
      <c r="D554" s="42">
        <v>626</v>
      </c>
      <c r="E554" s="42">
        <v>1112</v>
      </c>
      <c r="F554" s="42">
        <v>1059</v>
      </c>
      <c r="G554" s="42">
        <v>662</v>
      </c>
      <c r="H554" s="42">
        <v>749</v>
      </c>
    </row>
    <row r="555" spans="1:8" ht="13.5" customHeight="1">
      <c r="A555" s="9" t="s">
        <v>26</v>
      </c>
      <c r="B555" s="42">
        <v>11589</v>
      </c>
      <c r="C555" s="42">
        <v>1351</v>
      </c>
      <c r="D555" s="42">
        <v>3190</v>
      </c>
      <c r="E555" s="42">
        <v>4205</v>
      </c>
      <c r="F555" s="42">
        <v>1828</v>
      </c>
      <c r="G555" s="42">
        <v>657</v>
      </c>
      <c r="H555" s="42">
        <v>358</v>
      </c>
    </row>
    <row r="556" spans="1:8" ht="13.5" customHeight="1">
      <c r="A556" s="9" t="s">
        <v>27</v>
      </c>
      <c r="B556" s="42">
        <v>19292</v>
      </c>
      <c r="C556" s="42">
        <v>2664</v>
      </c>
      <c r="D556" s="42">
        <v>5931</v>
      </c>
      <c r="E556" s="42">
        <v>6528</v>
      </c>
      <c r="F556" s="42">
        <v>2831</v>
      </c>
      <c r="G556" s="42">
        <v>975</v>
      </c>
      <c r="H556" s="42">
        <v>363</v>
      </c>
    </row>
    <row r="557" spans="1:8" ht="13.5" customHeight="1">
      <c r="A557" s="9" t="s">
        <v>28</v>
      </c>
      <c r="B557" s="42">
        <v>15250</v>
      </c>
      <c r="C557" s="42">
        <v>2798</v>
      </c>
      <c r="D557" s="42">
        <v>4403</v>
      </c>
      <c r="E557" s="42">
        <v>4848</v>
      </c>
      <c r="F557" s="42">
        <v>2212</v>
      </c>
      <c r="G557" s="42">
        <v>668</v>
      </c>
      <c r="H557" s="42">
        <v>321</v>
      </c>
    </row>
    <row r="558" spans="1:8" ht="13.5" customHeight="1">
      <c r="A558" s="9" t="s">
        <v>29</v>
      </c>
      <c r="B558" s="42">
        <v>10648</v>
      </c>
      <c r="C558" s="42">
        <v>1940</v>
      </c>
      <c r="D558" s="42">
        <v>3015</v>
      </c>
      <c r="E558" s="42">
        <v>3216</v>
      </c>
      <c r="F558" s="42">
        <v>1671</v>
      </c>
      <c r="G558" s="42">
        <v>589</v>
      </c>
      <c r="H558" s="42">
        <v>217</v>
      </c>
    </row>
    <row r="559" spans="1:8" ht="13.5" customHeight="1">
      <c r="A559" s="9" t="s">
        <v>30</v>
      </c>
      <c r="B559" s="42">
        <v>11742</v>
      </c>
      <c r="C559" s="42">
        <v>2137</v>
      </c>
      <c r="D559" s="42">
        <v>3087</v>
      </c>
      <c r="E559" s="42">
        <v>3780</v>
      </c>
      <c r="F559" s="42">
        <v>1865</v>
      </c>
      <c r="G559" s="42">
        <v>594</v>
      </c>
      <c r="H559" s="42">
        <v>279</v>
      </c>
    </row>
    <row r="560" spans="1:8" ht="13.5" customHeight="1">
      <c r="A560" s="106" t="s">
        <v>41</v>
      </c>
      <c r="B560" s="105"/>
      <c r="C560" s="105"/>
      <c r="D560" s="105"/>
      <c r="E560" s="105"/>
      <c r="F560" s="105"/>
      <c r="G560" s="105"/>
      <c r="H560" s="105"/>
    </row>
    <row r="561" spans="1:8" ht="13.5" customHeight="1">
      <c r="A561" s="10" t="s">
        <v>97</v>
      </c>
      <c r="B561" s="42">
        <v>10931</v>
      </c>
      <c r="C561" s="42">
        <v>9734</v>
      </c>
      <c r="D561" s="42">
        <v>1173</v>
      </c>
      <c r="E561" s="42">
        <v>22</v>
      </c>
      <c r="F561" s="42">
        <v>1</v>
      </c>
      <c r="G561" s="42">
        <v>1</v>
      </c>
      <c r="H561" s="42">
        <v>0</v>
      </c>
    </row>
    <row r="562" spans="1:8" ht="13.5" customHeight="1">
      <c r="A562" s="10" t="s">
        <v>59</v>
      </c>
      <c r="B562" s="42">
        <v>18156</v>
      </c>
      <c r="C562" s="42">
        <v>1505</v>
      </c>
      <c r="D562" s="42">
        <v>14403</v>
      </c>
      <c r="E562" s="42">
        <v>2200</v>
      </c>
      <c r="F562" s="42">
        <v>43</v>
      </c>
      <c r="G562" s="42">
        <v>5</v>
      </c>
      <c r="H562" s="42">
        <v>0</v>
      </c>
    </row>
    <row r="563" spans="1:8" ht="13.5" customHeight="1">
      <c r="A563" s="10" t="s">
        <v>60</v>
      </c>
      <c r="B563" s="42">
        <v>21639</v>
      </c>
      <c r="C563" s="42">
        <v>109</v>
      </c>
      <c r="D563" s="42">
        <v>4468</v>
      </c>
      <c r="E563" s="42">
        <v>15476</v>
      </c>
      <c r="F563" s="42">
        <v>1523</v>
      </c>
      <c r="G563" s="42">
        <v>54</v>
      </c>
      <c r="H563" s="42">
        <v>9</v>
      </c>
    </row>
    <row r="564" spans="1:8" ht="13.5" customHeight="1">
      <c r="A564" s="10" t="s">
        <v>61</v>
      </c>
      <c r="B564" s="42">
        <v>11747</v>
      </c>
      <c r="C564" s="42">
        <v>39</v>
      </c>
      <c r="D564" s="42">
        <v>288</v>
      </c>
      <c r="E564" s="42">
        <v>5456</v>
      </c>
      <c r="F564" s="42">
        <v>5537</v>
      </c>
      <c r="G564" s="42">
        <v>402</v>
      </c>
      <c r="H564" s="42">
        <v>25</v>
      </c>
    </row>
    <row r="565" spans="1:8" ht="13.5" customHeight="1">
      <c r="A565" s="10" t="s">
        <v>62</v>
      </c>
      <c r="B565" s="42">
        <v>6111</v>
      </c>
      <c r="C565" s="42">
        <v>15</v>
      </c>
      <c r="D565" s="42">
        <v>49</v>
      </c>
      <c r="E565" s="42">
        <v>627</v>
      </c>
      <c r="F565" s="42">
        <v>3718</v>
      </c>
      <c r="G565" s="42">
        <v>1562</v>
      </c>
      <c r="H565" s="42">
        <v>140</v>
      </c>
    </row>
    <row r="566" spans="1:8" ht="13.5" customHeight="1">
      <c r="A566" s="10" t="s">
        <v>63</v>
      </c>
      <c r="B566" s="42">
        <v>4152</v>
      </c>
      <c r="C566" s="42">
        <v>14</v>
      </c>
      <c r="D566" s="42">
        <v>19</v>
      </c>
      <c r="E566" s="42">
        <v>189</v>
      </c>
      <c r="F566" s="42">
        <v>972</v>
      </c>
      <c r="G566" s="42">
        <v>2038</v>
      </c>
      <c r="H566" s="42">
        <v>920</v>
      </c>
    </row>
    <row r="567" spans="1:8" ht="13.5" customHeight="1">
      <c r="A567" s="10" t="s">
        <v>96</v>
      </c>
      <c r="B567" s="42">
        <v>2289</v>
      </c>
      <c r="C567" s="42">
        <v>11</v>
      </c>
      <c r="D567" s="42">
        <v>5</v>
      </c>
      <c r="E567" s="42">
        <v>40</v>
      </c>
      <c r="F567" s="42">
        <v>137</v>
      </c>
      <c r="G567" s="42">
        <v>550</v>
      </c>
      <c r="H567" s="42">
        <v>1546</v>
      </c>
    </row>
    <row r="568" spans="1:8" ht="13.5" customHeight="1">
      <c r="A568" s="10"/>
      <c r="B568" s="42"/>
      <c r="C568" s="42"/>
      <c r="D568" s="42"/>
      <c r="E568" s="42"/>
      <c r="F568" s="42"/>
      <c r="G568" s="42"/>
      <c r="H568" s="42"/>
    </row>
    <row r="569" spans="1:8" ht="13.5" customHeight="1">
      <c r="A569" s="9" t="s">
        <v>84</v>
      </c>
      <c r="B569" s="161"/>
      <c r="C569" s="161"/>
      <c r="D569" s="161"/>
      <c r="E569" s="161"/>
      <c r="F569" s="161"/>
      <c r="G569" s="161"/>
      <c r="H569" s="161"/>
    </row>
    <row r="570" spans="1:8" ht="13.5" customHeight="1">
      <c r="A570" s="10"/>
      <c r="B570" s="42"/>
      <c r="C570" s="42"/>
      <c r="D570" s="42"/>
      <c r="E570" s="42"/>
      <c r="F570" s="42"/>
      <c r="G570" s="42"/>
      <c r="H570" s="42"/>
    </row>
    <row r="571" spans="1:8" ht="13.5" customHeight="1">
      <c r="A571" s="46" t="s">
        <v>102</v>
      </c>
      <c r="B571" s="41"/>
      <c r="C571" s="41"/>
      <c r="D571" s="41"/>
      <c r="E571" s="41"/>
      <c r="F571" s="41"/>
      <c r="G571" s="41"/>
      <c r="H571" s="41"/>
    </row>
    <row r="574" spans="1:8" ht="13.5" customHeight="1">
      <c r="A574" s="143" t="s">
        <v>90</v>
      </c>
      <c r="B574" s="107"/>
      <c r="C574" s="107"/>
      <c r="D574" s="107"/>
      <c r="E574" s="107"/>
      <c r="F574" s="108"/>
      <c r="G574" s="107"/>
      <c r="H574" s="109"/>
    </row>
    <row r="575" spans="1:8" ht="13.5" customHeight="1">
      <c r="A575" s="39" t="s">
        <v>1</v>
      </c>
      <c r="B575" s="47"/>
      <c r="C575" s="47"/>
      <c r="D575" s="39"/>
      <c r="E575" s="39"/>
      <c r="F575" s="39"/>
      <c r="G575" s="39"/>
      <c r="H575" s="48"/>
    </row>
    <row r="576" spans="1:8" ht="13.5" customHeight="1">
      <c r="A576" s="39"/>
      <c r="B576" s="47"/>
      <c r="C576" s="47"/>
      <c r="D576" s="39"/>
      <c r="E576" s="39"/>
      <c r="F576" s="39"/>
      <c r="G576" s="39"/>
      <c r="H576" s="48"/>
    </row>
    <row r="577" spans="1:10" ht="13.5" customHeight="1">
      <c r="A577" s="101"/>
      <c r="B577" s="99"/>
      <c r="C577" s="103"/>
      <c r="D577" s="103"/>
      <c r="E577" s="103"/>
      <c r="F577" s="103"/>
      <c r="G577" s="103"/>
      <c r="H577" s="104" t="s">
        <v>42</v>
      </c>
      <c r="J577" s="170" t="s">
        <v>126</v>
      </c>
    </row>
    <row r="578" spans="1:10" ht="13.5" customHeight="1">
      <c r="A578" s="102"/>
      <c r="B578" s="100" t="s">
        <v>2</v>
      </c>
      <c r="C578" s="100">
        <v>1</v>
      </c>
      <c r="D578" s="100">
        <v>2</v>
      </c>
      <c r="E578" s="100">
        <v>3</v>
      </c>
      <c r="F578" s="100">
        <v>4</v>
      </c>
      <c r="G578" s="100">
        <v>5</v>
      </c>
      <c r="H578" s="100" t="s">
        <v>66</v>
      </c>
    </row>
    <row r="579" spans="1:10" ht="13.5" customHeight="1">
      <c r="A579" s="37" t="s">
        <v>2</v>
      </c>
      <c r="B579" s="36">
        <v>74338</v>
      </c>
      <c r="C579" s="36">
        <v>11305</v>
      </c>
      <c r="D579" s="36">
        <v>20219</v>
      </c>
      <c r="E579" s="36">
        <v>23811</v>
      </c>
      <c r="F579" s="36">
        <v>11810</v>
      </c>
      <c r="G579" s="36">
        <v>4566</v>
      </c>
      <c r="H579" s="36">
        <v>2627</v>
      </c>
    </row>
    <row r="580" spans="1:10" ht="13.5" customHeight="1">
      <c r="A580" s="37" t="s">
        <v>5</v>
      </c>
      <c r="B580" s="36"/>
      <c r="C580" s="36"/>
      <c r="D580" s="36"/>
      <c r="E580" s="36"/>
      <c r="F580" s="36"/>
      <c r="G580" s="36"/>
      <c r="H580" s="36"/>
    </row>
    <row r="581" spans="1:10" ht="13.5" customHeight="1">
      <c r="A581" s="9" t="s">
        <v>6</v>
      </c>
      <c r="B581" s="8">
        <v>2231</v>
      </c>
      <c r="C581" s="8">
        <v>12</v>
      </c>
      <c r="D581" s="8">
        <v>43</v>
      </c>
      <c r="E581" s="8">
        <v>177</v>
      </c>
      <c r="F581" s="8">
        <v>454</v>
      </c>
      <c r="G581" s="8">
        <v>704</v>
      </c>
      <c r="H581" s="8">
        <v>841</v>
      </c>
    </row>
    <row r="582" spans="1:10" ht="13.5" customHeight="1">
      <c r="A582" s="9" t="s">
        <v>7</v>
      </c>
      <c r="B582" s="8">
        <v>44317</v>
      </c>
      <c r="C582" s="8">
        <v>6089</v>
      </c>
      <c r="D582" s="8">
        <v>12475</v>
      </c>
      <c r="E582" s="8">
        <v>14984</v>
      </c>
      <c r="F582" s="8">
        <v>7233</v>
      </c>
      <c r="G582" s="8">
        <v>2479</v>
      </c>
      <c r="H582" s="8">
        <v>1057</v>
      </c>
    </row>
    <row r="583" spans="1:10" ht="13.5" customHeight="1">
      <c r="A583" s="10" t="s">
        <v>8</v>
      </c>
      <c r="B583" s="8">
        <v>26543</v>
      </c>
      <c r="C583" s="8">
        <v>4852</v>
      </c>
      <c r="D583" s="8">
        <v>7416</v>
      </c>
      <c r="E583" s="8">
        <v>8384</v>
      </c>
      <c r="F583" s="8">
        <v>3931</v>
      </c>
      <c r="G583" s="8">
        <v>1292</v>
      </c>
      <c r="H583" s="8">
        <v>668</v>
      </c>
    </row>
    <row r="584" spans="1:10" ht="13.5" customHeight="1">
      <c r="A584" s="10" t="s">
        <v>65</v>
      </c>
      <c r="B584" s="8">
        <v>1247</v>
      </c>
      <c r="C584" s="8">
        <v>352</v>
      </c>
      <c r="D584" s="8">
        <v>285</v>
      </c>
      <c r="E584" s="8">
        <v>266</v>
      </c>
      <c r="F584" s="8">
        <v>192</v>
      </c>
      <c r="G584" s="8">
        <v>91</v>
      </c>
      <c r="H584" s="8">
        <v>61</v>
      </c>
    </row>
    <row r="585" spans="1:10" ht="13.5" customHeight="1">
      <c r="A585" s="106" t="s">
        <v>39</v>
      </c>
      <c r="B585" s="36"/>
      <c r="C585" s="36"/>
      <c r="D585" s="36"/>
      <c r="E585" s="36"/>
      <c r="F585" s="36"/>
      <c r="G585" s="36"/>
      <c r="H585" s="36"/>
    </row>
    <row r="586" spans="1:10" ht="13.5" customHeight="1">
      <c r="A586" s="9" t="s">
        <v>10</v>
      </c>
      <c r="B586" s="8">
        <v>12405</v>
      </c>
      <c r="C586" s="8">
        <v>1587</v>
      </c>
      <c r="D586" s="8">
        <v>2619</v>
      </c>
      <c r="E586" s="8">
        <v>3878</v>
      </c>
      <c r="F586" s="8">
        <v>2167</v>
      </c>
      <c r="G586" s="8">
        <v>1230</v>
      </c>
      <c r="H586" s="8">
        <v>924</v>
      </c>
    </row>
    <row r="587" spans="1:10" ht="13.5" customHeight="1">
      <c r="A587" s="9" t="s">
        <v>11</v>
      </c>
      <c r="B587" s="8">
        <v>14689</v>
      </c>
      <c r="C587" s="8">
        <v>2039</v>
      </c>
      <c r="D587" s="8">
        <v>4868</v>
      </c>
      <c r="E587" s="8">
        <v>4778</v>
      </c>
      <c r="F587" s="8">
        <v>1675</v>
      </c>
      <c r="G587" s="8">
        <v>781</v>
      </c>
      <c r="H587" s="8">
        <v>548</v>
      </c>
    </row>
    <row r="588" spans="1:10" ht="13.5" customHeight="1">
      <c r="A588" s="9" t="s">
        <v>12</v>
      </c>
      <c r="B588" s="8">
        <v>18094</v>
      </c>
      <c r="C588" s="8">
        <v>2656</v>
      </c>
      <c r="D588" s="8">
        <v>6852</v>
      </c>
      <c r="E588" s="8">
        <v>5941</v>
      </c>
      <c r="F588" s="8">
        <v>1753</v>
      </c>
      <c r="G588" s="8">
        <v>562</v>
      </c>
      <c r="H588" s="8">
        <v>330</v>
      </c>
    </row>
    <row r="589" spans="1:10" ht="13.5" customHeight="1">
      <c r="A589" s="9" t="s">
        <v>13</v>
      </c>
      <c r="B589" s="8">
        <v>13809</v>
      </c>
      <c r="C589" s="8">
        <v>3144</v>
      </c>
      <c r="D589" s="8">
        <v>3230</v>
      </c>
      <c r="E589" s="8">
        <v>4614</v>
      </c>
      <c r="F589" s="8">
        <v>1906</v>
      </c>
      <c r="G589" s="8">
        <v>541</v>
      </c>
      <c r="H589" s="8">
        <v>374</v>
      </c>
    </row>
    <row r="590" spans="1:10" ht="13.5" customHeight="1">
      <c r="A590" s="9" t="s">
        <v>14</v>
      </c>
      <c r="B590" s="8">
        <v>5790</v>
      </c>
      <c r="C590" s="8">
        <v>1184</v>
      </c>
      <c r="D590" s="8">
        <v>1045</v>
      </c>
      <c r="E590" s="8">
        <v>1810</v>
      </c>
      <c r="F590" s="8">
        <v>1225</v>
      </c>
      <c r="G590" s="8">
        <v>412</v>
      </c>
      <c r="H590" s="8">
        <v>114</v>
      </c>
    </row>
    <row r="591" spans="1:10" ht="13.5" customHeight="1">
      <c r="A591" s="9" t="s">
        <v>15</v>
      </c>
      <c r="B591" s="8">
        <v>1826</v>
      </c>
      <c r="C591" s="8">
        <v>66</v>
      </c>
      <c r="D591" s="8">
        <v>300</v>
      </c>
      <c r="E591" s="8">
        <v>522</v>
      </c>
      <c r="F591" s="8">
        <v>651</v>
      </c>
      <c r="G591" s="8">
        <v>214</v>
      </c>
      <c r="H591" s="8">
        <v>73</v>
      </c>
    </row>
    <row r="592" spans="1:10" ht="13.5" customHeight="1">
      <c r="A592" s="9" t="s">
        <v>16</v>
      </c>
      <c r="B592" s="8">
        <v>1747</v>
      </c>
      <c r="C592" s="8">
        <v>118</v>
      </c>
      <c r="D592" s="8">
        <v>364</v>
      </c>
      <c r="E592" s="8">
        <v>521</v>
      </c>
      <c r="F592" s="8">
        <v>516</v>
      </c>
      <c r="G592" s="8">
        <v>181</v>
      </c>
      <c r="H592" s="8">
        <v>47</v>
      </c>
    </row>
    <row r="593" spans="1:8" ht="13.5" customHeight="1">
      <c r="A593" s="9" t="s">
        <v>17</v>
      </c>
      <c r="B593" s="8">
        <v>990</v>
      </c>
      <c r="C593" s="8">
        <v>186</v>
      </c>
      <c r="D593" s="8">
        <v>220</v>
      </c>
      <c r="E593" s="8">
        <v>298</v>
      </c>
      <c r="F593" s="8">
        <v>160</v>
      </c>
      <c r="G593" s="8">
        <v>104</v>
      </c>
      <c r="H593" s="8">
        <v>22</v>
      </c>
    </row>
    <row r="594" spans="1:8" ht="13.5" customHeight="1">
      <c r="A594" s="9" t="s">
        <v>18</v>
      </c>
      <c r="B594" s="8">
        <v>964</v>
      </c>
      <c r="C594" s="8">
        <v>16</v>
      </c>
      <c r="D594" s="8">
        <v>111</v>
      </c>
      <c r="E594" s="8">
        <v>361</v>
      </c>
      <c r="F594" s="8">
        <v>314</v>
      </c>
      <c r="G594" s="8">
        <v>111</v>
      </c>
      <c r="H594" s="8">
        <v>51</v>
      </c>
    </row>
    <row r="595" spans="1:8" ht="13.5" customHeight="1">
      <c r="A595" s="9" t="s">
        <v>19</v>
      </c>
      <c r="B595" s="8">
        <v>978</v>
      </c>
      <c r="C595" s="8">
        <v>36</v>
      </c>
      <c r="D595" s="8">
        <v>84</v>
      </c>
      <c r="E595" s="8">
        <v>218</v>
      </c>
      <c r="F595" s="8">
        <v>427</v>
      </c>
      <c r="G595" s="8">
        <v>166</v>
      </c>
      <c r="H595" s="8">
        <v>47</v>
      </c>
    </row>
    <row r="596" spans="1:8" ht="13.5" customHeight="1">
      <c r="A596" s="9" t="s">
        <v>20</v>
      </c>
      <c r="B596" s="8">
        <v>2219</v>
      </c>
      <c r="C596" s="8">
        <v>117</v>
      </c>
      <c r="D596" s="8">
        <v>353</v>
      </c>
      <c r="E596" s="8">
        <v>605</v>
      </c>
      <c r="F596" s="8">
        <v>852</v>
      </c>
      <c r="G596" s="8">
        <v>212</v>
      </c>
      <c r="H596" s="8">
        <v>80</v>
      </c>
    </row>
    <row r="597" spans="1:8" ht="13.5" customHeight="1">
      <c r="A597" s="9" t="s">
        <v>132</v>
      </c>
      <c r="B597" s="8">
        <v>827</v>
      </c>
      <c r="C597" s="8">
        <v>156</v>
      </c>
      <c r="D597" s="8">
        <v>173</v>
      </c>
      <c r="E597" s="8">
        <v>265</v>
      </c>
      <c r="F597" s="8">
        <v>164</v>
      </c>
      <c r="G597" s="8">
        <v>52</v>
      </c>
      <c r="H597" s="8">
        <v>17</v>
      </c>
    </row>
    <row r="598" spans="1:8" ht="13.5" customHeight="1">
      <c r="A598" s="106" t="s">
        <v>40</v>
      </c>
      <c r="B598" s="36"/>
      <c r="C598" s="36"/>
      <c r="D598" s="36"/>
      <c r="E598" s="36"/>
      <c r="F598" s="36"/>
      <c r="G598" s="36"/>
      <c r="H598" s="36"/>
    </row>
    <row r="599" spans="1:8" ht="13.5" customHeight="1">
      <c r="A599" s="9" t="s">
        <v>23</v>
      </c>
      <c r="B599" s="8">
        <v>158</v>
      </c>
      <c r="C599" s="8">
        <v>55</v>
      </c>
      <c r="D599" s="8">
        <v>23</v>
      </c>
      <c r="E599" s="8">
        <v>33</v>
      </c>
      <c r="F599" s="8">
        <v>26</v>
      </c>
      <c r="G599" s="8">
        <v>12</v>
      </c>
      <c r="H599" s="8">
        <v>9</v>
      </c>
    </row>
    <row r="600" spans="1:8" ht="13.5" customHeight="1">
      <c r="A600" s="9" t="s">
        <v>24</v>
      </c>
      <c r="B600" s="8">
        <v>1794</v>
      </c>
      <c r="C600" s="8">
        <v>162</v>
      </c>
      <c r="D600" s="8">
        <v>125</v>
      </c>
      <c r="E600" s="8">
        <v>279</v>
      </c>
      <c r="F600" s="8">
        <v>432</v>
      </c>
      <c r="G600" s="8">
        <v>448</v>
      </c>
      <c r="H600" s="8">
        <v>348</v>
      </c>
    </row>
    <row r="601" spans="1:8" ht="13.5" customHeight="1">
      <c r="A601" s="9" t="s">
        <v>25</v>
      </c>
      <c r="B601" s="8">
        <v>4346</v>
      </c>
      <c r="C601" s="8">
        <v>280</v>
      </c>
      <c r="D601" s="8">
        <v>608</v>
      </c>
      <c r="E601" s="8">
        <v>1056</v>
      </c>
      <c r="F601" s="8">
        <v>1022</v>
      </c>
      <c r="G601" s="8">
        <v>640</v>
      </c>
      <c r="H601" s="8">
        <v>740</v>
      </c>
    </row>
    <row r="602" spans="1:8" ht="13.5" customHeight="1">
      <c r="A602" s="9" t="s">
        <v>26</v>
      </c>
      <c r="B602" s="8">
        <v>11612</v>
      </c>
      <c r="C602" s="8">
        <v>1364</v>
      </c>
      <c r="D602" s="8">
        <v>3185</v>
      </c>
      <c r="E602" s="8">
        <v>4215</v>
      </c>
      <c r="F602" s="8">
        <v>1823</v>
      </c>
      <c r="G602" s="8">
        <v>668</v>
      </c>
      <c r="H602" s="8">
        <v>357</v>
      </c>
    </row>
    <row r="603" spans="1:8" ht="13.5" customHeight="1">
      <c r="A603" s="9" t="s">
        <v>27</v>
      </c>
      <c r="B603" s="8">
        <v>19217</v>
      </c>
      <c r="C603" s="8">
        <v>2680</v>
      </c>
      <c r="D603" s="8">
        <v>5903</v>
      </c>
      <c r="E603" s="8">
        <v>6493</v>
      </c>
      <c r="F603" s="8">
        <v>2824</v>
      </c>
      <c r="G603" s="8">
        <v>953</v>
      </c>
      <c r="H603" s="8">
        <v>364</v>
      </c>
    </row>
    <row r="604" spans="1:8" ht="13.5" customHeight="1">
      <c r="A604" s="9" t="s">
        <v>28</v>
      </c>
      <c r="B604" s="8">
        <v>14984</v>
      </c>
      <c r="C604" s="8">
        <v>2700</v>
      </c>
      <c r="D604" s="8">
        <v>4326</v>
      </c>
      <c r="E604" s="8">
        <v>4793</v>
      </c>
      <c r="F604" s="8">
        <v>2163</v>
      </c>
      <c r="G604" s="8">
        <v>673</v>
      </c>
      <c r="H604" s="8">
        <v>329</v>
      </c>
    </row>
    <row r="605" spans="1:8" ht="13.5" customHeight="1">
      <c r="A605" s="9" t="s">
        <v>29</v>
      </c>
      <c r="B605" s="8">
        <v>10559</v>
      </c>
      <c r="C605" s="8">
        <v>1927</v>
      </c>
      <c r="D605" s="8">
        <v>2982</v>
      </c>
      <c r="E605" s="8">
        <v>3192</v>
      </c>
      <c r="F605" s="8">
        <v>1658</v>
      </c>
      <c r="G605" s="8">
        <v>589</v>
      </c>
      <c r="H605" s="8">
        <v>211</v>
      </c>
    </row>
    <row r="606" spans="1:8" ht="13.5" customHeight="1">
      <c r="A606" s="9" t="s">
        <v>30</v>
      </c>
      <c r="B606" s="8">
        <v>11668</v>
      </c>
      <c r="C606" s="8">
        <v>2137</v>
      </c>
      <c r="D606" s="8">
        <v>3067</v>
      </c>
      <c r="E606" s="8">
        <v>3750</v>
      </c>
      <c r="F606" s="8">
        <v>1862</v>
      </c>
      <c r="G606" s="8">
        <v>583</v>
      </c>
      <c r="H606" s="8">
        <v>269</v>
      </c>
    </row>
    <row r="607" spans="1:8" ht="13.5" customHeight="1">
      <c r="A607" s="106" t="s">
        <v>41</v>
      </c>
      <c r="B607" s="36"/>
      <c r="C607" s="36"/>
      <c r="D607" s="36"/>
      <c r="E607" s="36"/>
      <c r="F607" s="36"/>
      <c r="G607" s="36"/>
      <c r="H607" s="36"/>
    </row>
    <row r="608" spans="1:8" ht="13.5" customHeight="1">
      <c r="A608" s="10" t="s">
        <v>97</v>
      </c>
      <c r="B608" s="8">
        <v>10797</v>
      </c>
      <c r="C608" s="8">
        <v>9603</v>
      </c>
      <c r="D608" s="8">
        <v>1172</v>
      </c>
      <c r="E608" s="8">
        <v>21</v>
      </c>
      <c r="F608" s="8">
        <v>0</v>
      </c>
      <c r="G608" s="8">
        <v>0</v>
      </c>
      <c r="H608" s="8">
        <v>1</v>
      </c>
    </row>
    <row r="609" spans="1:10" ht="13.5" customHeight="1">
      <c r="A609" s="10" t="s">
        <v>59</v>
      </c>
      <c r="B609" s="8">
        <v>18081</v>
      </c>
      <c r="C609" s="8">
        <v>1520</v>
      </c>
      <c r="D609" s="8">
        <v>14311</v>
      </c>
      <c r="E609" s="8">
        <v>2206</v>
      </c>
      <c r="F609" s="8">
        <v>39</v>
      </c>
      <c r="G609" s="8">
        <v>5</v>
      </c>
      <c r="H609" s="8">
        <v>0</v>
      </c>
    </row>
    <row r="610" spans="1:10" ht="13.5" customHeight="1">
      <c r="A610" s="10" t="s">
        <v>60</v>
      </c>
      <c r="B610" s="8">
        <v>21492</v>
      </c>
      <c r="C610" s="8">
        <v>102</v>
      </c>
      <c r="D610" s="8">
        <v>4379</v>
      </c>
      <c r="E610" s="8">
        <v>15435</v>
      </c>
      <c r="F610" s="8">
        <v>1514</v>
      </c>
      <c r="G610" s="8">
        <v>54</v>
      </c>
      <c r="H610" s="8">
        <v>8</v>
      </c>
    </row>
    <row r="611" spans="1:10" ht="13.5" customHeight="1">
      <c r="A611" s="10" t="s">
        <v>61</v>
      </c>
      <c r="B611" s="8">
        <v>11601</v>
      </c>
      <c r="C611" s="8">
        <v>37</v>
      </c>
      <c r="D611" s="8">
        <v>285</v>
      </c>
      <c r="E611" s="8">
        <v>5321</v>
      </c>
      <c r="F611" s="8">
        <v>5531</v>
      </c>
      <c r="G611" s="8">
        <v>403</v>
      </c>
      <c r="H611" s="8">
        <v>24</v>
      </c>
    </row>
    <row r="612" spans="1:10" ht="13.5" customHeight="1">
      <c r="A612" s="10" t="s">
        <v>62</v>
      </c>
      <c r="B612" s="8">
        <v>6012</v>
      </c>
      <c r="C612" s="8">
        <v>13</v>
      </c>
      <c r="D612" s="8">
        <v>49</v>
      </c>
      <c r="E612" s="8">
        <v>599</v>
      </c>
      <c r="F612" s="8">
        <v>3657</v>
      </c>
      <c r="G612" s="8">
        <v>1556</v>
      </c>
      <c r="H612" s="8">
        <v>138</v>
      </c>
    </row>
    <row r="613" spans="1:10" ht="13.5" customHeight="1">
      <c r="A613" s="10" t="s">
        <v>63</v>
      </c>
      <c r="B613" s="8">
        <v>4086</v>
      </c>
      <c r="C613" s="8">
        <v>14</v>
      </c>
      <c r="D613" s="8">
        <v>16</v>
      </c>
      <c r="E613" s="8">
        <v>188</v>
      </c>
      <c r="F613" s="8">
        <v>928</v>
      </c>
      <c r="G613" s="8">
        <v>2018</v>
      </c>
      <c r="H613" s="8">
        <v>922</v>
      </c>
    </row>
    <row r="614" spans="1:10" ht="13.5" customHeight="1">
      <c r="A614" s="10" t="s">
        <v>96</v>
      </c>
      <c r="B614" s="8">
        <v>2269</v>
      </c>
      <c r="C614" s="8">
        <v>16</v>
      </c>
      <c r="D614" s="8">
        <v>7</v>
      </c>
      <c r="E614" s="8">
        <v>41</v>
      </c>
      <c r="F614" s="8">
        <v>141</v>
      </c>
      <c r="G614" s="8">
        <v>530</v>
      </c>
      <c r="H614" s="8">
        <v>1534</v>
      </c>
    </row>
    <row r="615" spans="1:10" ht="13.5" customHeight="1">
      <c r="A615" s="10"/>
      <c r="B615" s="42"/>
      <c r="C615" s="42"/>
      <c r="D615" s="42"/>
      <c r="E615" s="42"/>
      <c r="F615" s="42"/>
      <c r="G615" s="42"/>
      <c r="H615" s="42"/>
    </row>
    <row r="616" spans="1:10" ht="13.5" customHeight="1">
      <c r="A616" s="9" t="s">
        <v>84</v>
      </c>
      <c r="B616" s="161"/>
      <c r="C616" s="161"/>
      <c r="D616" s="161"/>
      <c r="E616" s="161"/>
      <c r="F616" s="161"/>
      <c r="G616" s="161"/>
      <c r="H616" s="161"/>
    </row>
    <row r="617" spans="1:10" ht="13.5" customHeight="1">
      <c r="A617" s="10"/>
      <c r="B617" s="8"/>
      <c r="C617" s="8"/>
      <c r="D617" s="8"/>
      <c r="E617" s="8"/>
      <c r="F617" s="8"/>
      <c r="G617" s="8"/>
      <c r="H617" s="8"/>
    </row>
    <row r="618" spans="1:10" ht="13.5" customHeight="1">
      <c r="A618" s="49" t="s">
        <v>102</v>
      </c>
      <c r="B618" s="39"/>
      <c r="C618" s="39"/>
      <c r="D618" s="39"/>
      <c r="E618" s="39"/>
      <c r="F618" s="39"/>
      <c r="G618" s="39"/>
      <c r="H618" s="39"/>
    </row>
    <row r="621" spans="1:10" ht="13.5" customHeight="1">
      <c r="A621" s="144" t="s">
        <v>91</v>
      </c>
      <c r="B621" s="110"/>
      <c r="C621" s="110"/>
      <c r="D621" s="110"/>
      <c r="E621" s="110"/>
      <c r="F621" s="111"/>
      <c r="G621" s="110"/>
      <c r="H621" s="112"/>
    </row>
    <row r="622" spans="1:10" ht="13.5" customHeight="1">
      <c r="A622" s="40" t="s">
        <v>1</v>
      </c>
      <c r="B622" s="50"/>
      <c r="C622" s="50"/>
      <c r="D622" s="40"/>
      <c r="E622" s="40"/>
      <c r="F622" s="40"/>
      <c r="G622" s="40"/>
      <c r="H622" s="51"/>
    </row>
    <row r="623" spans="1:10" ht="13.5" customHeight="1">
      <c r="A623" s="40"/>
      <c r="B623" s="50"/>
      <c r="C623" s="50"/>
      <c r="D623" s="40"/>
      <c r="E623" s="40"/>
      <c r="F623" s="40"/>
      <c r="G623" s="40"/>
      <c r="H623" s="51"/>
    </row>
    <row r="624" spans="1:10" ht="13.5" customHeight="1">
      <c r="A624" s="101"/>
      <c r="B624" s="99"/>
      <c r="C624" s="103"/>
      <c r="D624" s="103"/>
      <c r="E624" s="103"/>
      <c r="F624" s="103"/>
      <c r="G624" s="103"/>
      <c r="H624" s="104" t="s">
        <v>42</v>
      </c>
      <c r="J624" s="170" t="s">
        <v>126</v>
      </c>
    </row>
    <row r="625" spans="1:8" ht="13.5" customHeight="1">
      <c r="A625" s="102"/>
      <c r="B625" s="100" t="s">
        <v>2</v>
      </c>
      <c r="C625" s="100">
        <v>1</v>
      </c>
      <c r="D625" s="100">
        <v>2</v>
      </c>
      <c r="E625" s="100">
        <v>3</v>
      </c>
      <c r="F625" s="100">
        <v>4</v>
      </c>
      <c r="G625" s="100">
        <v>5</v>
      </c>
      <c r="H625" s="100" t="s">
        <v>66</v>
      </c>
    </row>
    <row r="626" spans="1:8" ht="13.5" customHeight="1">
      <c r="A626" s="37" t="s">
        <v>2</v>
      </c>
      <c r="B626" s="36">
        <v>73712</v>
      </c>
      <c r="C626" s="36">
        <v>10933</v>
      </c>
      <c r="D626" s="36">
        <v>20146</v>
      </c>
      <c r="E626" s="36">
        <v>23810</v>
      </c>
      <c r="F626" s="36">
        <v>11735</v>
      </c>
      <c r="G626" s="36">
        <v>4513</v>
      </c>
      <c r="H626" s="36">
        <v>2575</v>
      </c>
    </row>
    <row r="627" spans="1:8" ht="13.5" customHeight="1">
      <c r="A627" s="37" t="s">
        <v>5</v>
      </c>
      <c r="B627" s="36"/>
      <c r="C627" s="36"/>
      <c r="D627" s="36"/>
      <c r="E627" s="36"/>
      <c r="F627" s="36"/>
      <c r="G627" s="36"/>
      <c r="H627" s="36"/>
    </row>
    <row r="628" spans="1:8" ht="13.5" customHeight="1">
      <c r="A628" s="9" t="s">
        <v>6</v>
      </c>
      <c r="B628" s="8">
        <v>2201</v>
      </c>
      <c r="C628" s="8">
        <v>17</v>
      </c>
      <c r="D628" s="8">
        <v>47</v>
      </c>
      <c r="E628" s="8">
        <v>184</v>
      </c>
      <c r="F628" s="8">
        <v>453</v>
      </c>
      <c r="G628" s="8">
        <v>674</v>
      </c>
      <c r="H628" s="8">
        <v>826</v>
      </c>
    </row>
    <row r="629" spans="1:8" ht="13.5" customHeight="1">
      <c r="A629" s="9" t="s">
        <v>7</v>
      </c>
      <c r="B629" s="8">
        <v>44029</v>
      </c>
      <c r="C629" s="8">
        <v>5876</v>
      </c>
      <c r="D629" s="8">
        <v>12432</v>
      </c>
      <c r="E629" s="8">
        <v>15067</v>
      </c>
      <c r="F629" s="8">
        <v>7174</v>
      </c>
      <c r="G629" s="8">
        <v>2468</v>
      </c>
      <c r="H629" s="8">
        <v>1012</v>
      </c>
    </row>
    <row r="630" spans="1:8" ht="13.5" customHeight="1">
      <c r="A630" s="10" t="s">
        <v>8</v>
      </c>
      <c r="B630" s="8">
        <v>25940</v>
      </c>
      <c r="C630" s="8">
        <v>4631</v>
      </c>
      <c r="D630" s="8">
        <v>7325</v>
      </c>
      <c r="E630" s="8">
        <v>8214</v>
      </c>
      <c r="F630" s="8">
        <v>3853</v>
      </c>
      <c r="G630" s="8">
        <v>1264</v>
      </c>
      <c r="H630" s="8">
        <v>653</v>
      </c>
    </row>
    <row r="631" spans="1:8" ht="13.5" customHeight="1">
      <c r="A631" s="10" t="s">
        <v>65</v>
      </c>
      <c r="B631" s="8">
        <v>1542</v>
      </c>
      <c r="C631" s="8">
        <v>409</v>
      </c>
      <c r="D631" s="8">
        <v>342</v>
      </c>
      <c r="E631" s="8">
        <v>345</v>
      </c>
      <c r="F631" s="8">
        <v>255</v>
      </c>
      <c r="G631" s="8">
        <v>107</v>
      </c>
      <c r="H631" s="8">
        <v>84</v>
      </c>
    </row>
    <row r="632" spans="1:8" ht="13.5" customHeight="1">
      <c r="A632" s="106" t="s">
        <v>39</v>
      </c>
      <c r="B632" s="36"/>
      <c r="C632" s="36"/>
      <c r="D632" s="36"/>
      <c r="E632" s="36"/>
      <c r="F632" s="36"/>
      <c r="G632" s="36"/>
      <c r="H632" s="36"/>
    </row>
    <row r="633" spans="1:8" ht="13.5" customHeight="1">
      <c r="A633" s="9" t="s">
        <v>10</v>
      </c>
      <c r="B633" s="8">
        <v>11755</v>
      </c>
      <c r="C633" s="8">
        <v>1429</v>
      </c>
      <c r="D633" s="8">
        <v>2511</v>
      </c>
      <c r="E633" s="8">
        <v>3736</v>
      </c>
      <c r="F633" s="8">
        <v>2070</v>
      </c>
      <c r="G633" s="8">
        <v>1135</v>
      </c>
      <c r="H633" s="8">
        <v>874</v>
      </c>
    </row>
    <row r="634" spans="1:8" ht="13.5" customHeight="1">
      <c r="A634" s="9" t="s">
        <v>11</v>
      </c>
      <c r="B634" s="8">
        <v>15032</v>
      </c>
      <c r="C634" s="8">
        <v>2122</v>
      </c>
      <c r="D634" s="8">
        <v>4936</v>
      </c>
      <c r="E634" s="8">
        <v>4863</v>
      </c>
      <c r="F634" s="8">
        <v>1712</v>
      </c>
      <c r="G634" s="8">
        <v>842</v>
      </c>
      <c r="H634" s="8">
        <v>557</v>
      </c>
    </row>
    <row r="635" spans="1:8" ht="13.5" customHeight="1">
      <c r="A635" s="9" t="s">
        <v>12</v>
      </c>
      <c r="B635" s="8">
        <v>18214</v>
      </c>
      <c r="C635" s="8">
        <v>2662</v>
      </c>
      <c r="D635" s="8">
        <v>6878</v>
      </c>
      <c r="E635" s="8">
        <v>6016</v>
      </c>
      <c r="F635" s="8">
        <v>1771</v>
      </c>
      <c r="G635" s="8">
        <v>555</v>
      </c>
      <c r="H635" s="8">
        <v>332</v>
      </c>
    </row>
    <row r="636" spans="1:8" ht="13.5" customHeight="1">
      <c r="A636" s="9" t="s">
        <v>13</v>
      </c>
      <c r="B636" s="8">
        <v>13676</v>
      </c>
      <c r="C636" s="8">
        <v>2979</v>
      </c>
      <c r="D636" s="8">
        <v>3214</v>
      </c>
      <c r="E636" s="8">
        <v>4634</v>
      </c>
      <c r="F636" s="8">
        <v>1924</v>
      </c>
      <c r="G636" s="8">
        <v>559</v>
      </c>
      <c r="H636" s="8">
        <v>366</v>
      </c>
    </row>
    <row r="637" spans="1:8" ht="13.5" customHeight="1">
      <c r="A637" s="9" t="s">
        <v>14</v>
      </c>
      <c r="B637" s="8">
        <v>5746</v>
      </c>
      <c r="C637" s="8">
        <v>1158</v>
      </c>
      <c r="D637" s="8">
        <v>1033</v>
      </c>
      <c r="E637" s="8">
        <v>1808</v>
      </c>
      <c r="F637" s="8">
        <v>1225</v>
      </c>
      <c r="G637" s="8">
        <v>408</v>
      </c>
      <c r="H637" s="8">
        <v>114</v>
      </c>
    </row>
    <row r="638" spans="1:8" ht="13.5" customHeight="1">
      <c r="A638" s="9" t="s">
        <v>15</v>
      </c>
      <c r="B638" s="8">
        <v>1822</v>
      </c>
      <c r="C638" s="8">
        <v>68</v>
      </c>
      <c r="D638" s="8">
        <v>302</v>
      </c>
      <c r="E638" s="8">
        <v>523</v>
      </c>
      <c r="F638" s="8">
        <v>648</v>
      </c>
      <c r="G638" s="8">
        <v>209</v>
      </c>
      <c r="H638" s="8">
        <v>72</v>
      </c>
    </row>
    <row r="639" spans="1:8" ht="13.5" customHeight="1">
      <c r="A639" s="9" t="s">
        <v>16</v>
      </c>
      <c r="B639" s="8">
        <v>1759</v>
      </c>
      <c r="C639" s="8">
        <v>129</v>
      </c>
      <c r="D639" s="8">
        <v>373</v>
      </c>
      <c r="E639" s="8">
        <v>528</v>
      </c>
      <c r="F639" s="8">
        <v>506</v>
      </c>
      <c r="G639" s="8">
        <v>177</v>
      </c>
      <c r="H639" s="8">
        <v>46</v>
      </c>
    </row>
    <row r="640" spans="1:8" ht="13.5" customHeight="1">
      <c r="A640" s="9" t="s">
        <v>17</v>
      </c>
      <c r="B640" s="8">
        <v>906</v>
      </c>
      <c r="C640" s="8">
        <v>115</v>
      </c>
      <c r="D640" s="8">
        <v>210</v>
      </c>
      <c r="E640" s="8">
        <v>299</v>
      </c>
      <c r="F640" s="8">
        <v>158</v>
      </c>
      <c r="G640" s="8">
        <v>102</v>
      </c>
      <c r="H640" s="8">
        <v>22</v>
      </c>
    </row>
    <row r="641" spans="1:8" ht="13.5" customHeight="1">
      <c r="A641" s="9" t="s">
        <v>18</v>
      </c>
      <c r="B641" s="8">
        <v>977</v>
      </c>
      <c r="C641" s="8">
        <v>16</v>
      </c>
      <c r="D641" s="8">
        <v>117</v>
      </c>
      <c r="E641" s="8">
        <v>370</v>
      </c>
      <c r="F641" s="8">
        <v>310</v>
      </c>
      <c r="G641" s="8">
        <v>109</v>
      </c>
      <c r="H641" s="8">
        <v>55</v>
      </c>
    </row>
    <row r="642" spans="1:8" ht="13.5" customHeight="1">
      <c r="A642" s="9" t="s">
        <v>19</v>
      </c>
      <c r="B642" s="8">
        <v>993</v>
      </c>
      <c r="C642" s="8">
        <v>55</v>
      </c>
      <c r="D642" s="8">
        <v>85</v>
      </c>
      <c r="E642" s="8">
        <v>219</v>
      </c>
      <c r="F642" s="8">
        <v>423</v>
      </c>
      <c r="G642" s="8">
        <v>165</v>
      </c>
      <c r="H642" s="8">
        <v>46</v>
      </c>
    </row>
    <row r="643" spans="1:8" ht="13.5" customHeight="1">
      <c r="A643" s="9" t="s">
        <v>20</v>
      </c>
      <c r="B643" s="8">
        <v>2208</v>
      </c>
      <c r="C643" s="8">
        <v>102</v>
      </c>
      <c r="D643" s="8">
        <v>352</v>
      </c>
      <c r="E643" s="8">
        <v>607</v>
      </c>
      <c r="F643" s="8">
        <v>859</v>
      </c>
      <c r="G643" s="8">
        <v>209</v>
      </c>
      <c r="H643" s="8">
        <v>79</v>
      </c>
    </row>
    <row r="644" spans="1:8" ht="13.5" customHeight="1">
      <c r="A644" s="9" t="s">
        <v>132</v>
      </c>
      <c r="B644" s="8">
        <v>624</v>
      </c>
      <c r="C644" s="8">
        <v>98</v>
      </c>
      <c r="D644" s="8">
        <v>135</v>
      </c>
      <c r="E644" s="8">
        <v>207</v>
      </c>
      <c r="F644" s="8">
        <v>129</v>
      </c>
      <c r="G644" s="8">
        <v>43</v>
      </c>
      <c r="H644" s="8">
        <v>12</v>
      </c>
    </row>
    <row r="645" spans="1:8" ht="13.5" customHeight="1">
      <c r="A645" s="106" t="s">
        <v>40</v>
      </c>
      <c r="B645" s="36"/>
      <c r="C645" s="36"/>
      <c r="D645" s="36"/>
      <c r="E645" s="36"/>
      <c r="F645" s="36"/>
      <c r="G645" s="36"/>
      <c r="H645" s="36"/>
    </row>
    <row r="646" spans="1:8" ht="13.5" customHeight="1">
      <c r="A646" s="9" t="s">
        <v>23</v>
      </c>
      <c r="B646" s="8">
        <v>110</v>
      </c>
      <c r="C646" s="8">
        <v>5</v>
      </c>
      <c r="D646" s="8">
        <v>21</v>
      </c>
      <c r="E646" s="8">
        <v>34</v>
      </c>
      <c r="F646" s="8">
        <v>26</v>
      </c>
      <c r="G646" s="8">
        <v>13</v>
      </c>
      <c r="H646" s="8">
        <v>11</v>
      </c>
    </row>
    <row r="647" spans="1:8" ht="13.5" customHeight="1">
      <c r="A647" s="9" t="s">
        <v>24</v>
      </c>
      <c r="B647" s="8">
        <v>1782</v>
      </c>
      <c r="C647" s="8">
        <v>133</v>
      </c>
      <c r="D647" s="8">
        <v>132</v>
      </c>
      <c r="E647" s="8">
        <v>296</v>
      </c>
      <c r="F647" s="8">
        <v>441</v>
      </c>
      <c r="G647" s="8">
        <v>432</v>
      </c>
      <c r="H647" s="8">
        <v>348</v>
      </c>
    </row>
    <row r="648" spans="1:8" ht="13.5" customHeight="1">
      <c r="A648" s="9" t="s">
        <v>25</v>
      </c>
      <c r="B648" s="8">
        <v>4227</v>
      </c>
      <c r="C648" s="8">
        <v>260</v>
      </c>
      <c r="D648" s="8">
        <v>604</v>
      </c>
      <c r="E648" s="8">
        <v>1086</v>
      </c>
      <c r="F648" s="8">
        <v>991</v>
      </c>
      <c r="G648" s="8">
        <v>588</v>
      </c>
      <c r="H648" s="8">
        <v>698</v>
      </c>
    </row>
    <row r="649" spans="1:8" ht="13.5" customHeight="1">
      <c r="A649" s="9" t="s">
        <v>26</v>
      </c>
      <c r="B649" s="8">
        <v>11641</v>
      </c>
      <c r="C649" s="8">
        <v>1288</v>
      </c>
      <c r="D649" s="8">
        <v>3202</v>
      </c>
      <c r="E649" s="8">
        <v>4245</v>
      </c>
      <c r="F649" s="8">
        <v>1811</v>
      </c>
      <c r="G649" s="8">
        <v>716</v>
      </c>
      <c r="H649" s="8">
        <v>379</v>
      </c>
    </row>
    <row r="650" spans="1:8" ht="13.5" customHeight="1">
      <c r="A650" s="9" t="s">
        <v>27</v>
      </c>
      <c r="B650" s="8">
        <v>19099</v>
      </c>
      <c r="C650" s="8">
        <v>2581</v>
      </c>
      <c r="D650" s="8">
        <v>5918</v>
      </c>
      <c r="E650" s="8">
        <v>6463</v>
      </c>
      <c r="F650" s="8">
        <v>2857</v>
      </c>
      <c r="G650" s="8">
        <v>922</v>
      </c>
      <c r="H650" s="8">
        <v>358</v>
      </c>
    </row>
    <row r="651" spans="1:8" ht="13.5" customHeight="1">
      <c r="A651" s="9" t="s">
        <v>28</v>
      </c>
      <c r="B651" s="8">
        <v>14843</v>
      </c>
      <c r="C651" s="8">
        <v>2663</v>
      </c>
      <c r="D651" s="8">
        <v>4366</v>
      </c>
      <c r="E651" s="8">
        <v>4772</v>
      </c>
      <c r="F651" s="8">
        <v>2066</v>
      </c>
      <c r="G651" s="8">
        <v>657</v>
      </c>
      <c r="H651" s="8">
        <v>319</v>
      </c>
    </row>
    <row r="652" spans="1:8" ht="13.5" customHeight="1">
      <c r="A652" s="9" t="s">
        <v>29</v>
      </c>
      <c r="B652" s="8">
        <v>10452</v>
      </c>
      <c r="C652" s="8">
        <v>1907</v>
      </c>
      <c r="D652" s="8">
        <v>2918</v>
      </c>
      <c r="E652" s="8">
        <v>3158</v>
      </c>
      <c r="F652" s="8">
        <v>1665</v>
      </c>
      <c r="G652" s="8">
        <v>605</v>
      </c>
      <c r="H652" s="8">
        <v>199</v>
      </c>
    </row>
    <row r="653" spans="1:8" ht="13.5" customHeight="1">
      <c r="A653" s="9" t="s">
        <v>30</v>
      </c>
      <c r="B653" s="8">
        <v>11558</v>
      </c>
      <c r="C653" s="8">
        <v>2096</v>
      </c>
      <c r="D653" s="8">
        <v>2985</v>
      </c>
      <c r="E653" s="8">
        <v>3756</v>
      </c>
      <c r="F653" s="8">
        <v>1878</v>
      </c>
      <c r="G653" s="8">
        <v>580</v>
      </c>
      <c r="H653" s="8">
        <v>263</v>
      </c>
    </row>
    <row r="654" spans="1:8" ht="13.5" customHeight="1">
      <c r="A654" s="106" t="s">
        <v>41</v>
      </c>
      <c r="B654" s="36"/>
      <c r="C654" s="36"/>
      <c r="D654" s="36"/>
      <c r="E654" s="36"/>
      <c r="F654" s="36"/>
      <c r="G654" s="36"/>
      <c r="H654" s="36"/>
    </row>
    <row r="655" spans="1:8" ht="13.5" customHeight="1">
      <c r="A655" s="10" t="s">
        <v>97</v>
      </c>
      <c r="B655" s="8">
        <v>10490</v>
      </c>
      <c r="C655" s="8">
        <v>9278</v>
      </c>
      <c r="D655" s="8">
        <v>1190</v>
      </c>
      <c r="E655" s="8">
        <v>20</v>
      </c>
      <c r="F655" s="8">
        <v>1</v>
      </c>
      <c r="G655" s="8">
        <v>1</v>
      </c>
      <c r="H655" s="8">
        <v>0</v>
      </c>
    </row>
    <row r="656" spans="1:8" ht="13.5" customHeight="1">
      <c r="A656" s="10" t="s">
        <v>59</v>
      </c>
      <c r="B656" s="8">
        <v>18027</v>
      </c>
      <c r="C656" s="8">
        <v>1491</v>
      </c>
      <c r="D656" s="8">
        <v>14264</v>
      </c>
      <c r="E656" s="8">
        <v>2223</v>
      </c>
      <c r="F656" s="8">
        <v>42</v>
      </c>
      <c r="G656" s="8">
        <v>7</v>
      </c>
      <c r="H656" s="8">
        <v>0</v>
      </c>
    </row>
    <row r="657" spans="1:10" ht="13.5" customHeight="1">
      <c r="A657" s="10" t="s">
        <v>60</v>
      </c>
      <c r="B657" s="8">
        <v>21467</v>
      </c>
      <c r="C657" s="8">
        <v>94</v>
      </c>
      <c r="D657" s="8">
        <v>4285</v>
      </c>
      <c r="E657" s="8">
        <v>15495</v>
      </c>
      <c r="F657" s="8">
        <v>1507</v>
      </c>
      <c r="G657" s="8">
        <v>73</v>
      </c>
      <c r="H657" s="8">
        <v>13</v>
      </c>
    </row>
    <row r="658" spans="1:10" ht="13.5" customHeight="1">
      <c r="A658" s="10" t="s">
        <v>61</v>
      </c>
      <c r="B658" s="8">
        <v>11563</v>
      </c>
      <c r="C658" s="8">
        <v>33</v>
      </c>
      <c r="D658" s="8">
        <v>283</v>
      </c>
      <c r="E658" s="8">
        <v>5250</v>
      </c>
      <c r="F658" s="8">
        <v>5563</v>
      </c>
      <c r="G658" s="8">
        <v>400</v>
      </c>
      <c r="H658" s="8">
        <v>34</v>
      </c>
    </row>
    <row r="659" spans="1:10" ht="13.5" customHeight="1">
      <c r="A659" s="10" t="s">
        <v>62</v>
      </c>
      <c r="B659" s="8">
        <v>5935</v>
      </c>
      <c r="C659" s="8">
        <v>11</v>
      </c>
      <c r="D659" s="8">
        <v>62</v>
      </c>
      <c r="E659" s="8">
        <v>586</v>
      </c>
      <c r="F659" s="8">
        <v>3597</v>
      </c>
      <c r="G659" s="8">
        <v>1542</v>
      </c>
      <c r="H659" s="8">
        <v>137</v>
      </c>
    </row>
    <row r="660" spans="1:10" ht="13.5" customHeight="1">
      <c r="A660" s="10" t="s">
        <v>63</v>
      </c>
      <c r="B660" s="8">
        <v>4037</v>
      </c>
      <c r="C660" s="8">
        <v>10</v>
      </c>
      <c r="D660" s="8">
        <v>45</v>
      </c>
      <c r="E660" s="8">
        <v>188</v>
      </c>
      <c r="F660" s="8">
        <v>895</v>
      </c>
      <c r="G660" s="8">
        <v>2000</v>
      </c>
      <c r="H660" s="8">
        <v>899</v>
      </c>
    </row>
    <row r="661" spans="1:10" ht="13.5" customHeight="1">
      <c r="A661" s="10" t="s">
        <v>96</v>
      </c>
      <c r="B661" s="8">
        <v>2193</v>
      </c>
      <c r="C661" s="8">
        <v>16</v>
      </c>
      <c r="D661" s="8">
        <v>17</v>
      </c>
      <c r="E661" s="8">
        <v>48</v>
      </c>
      <c r="F661" s="8">
        <v>130</v>
      </c>
      <c r="G661" s="8">
        <v>490</v>
      </c>
      <c r="H661" s="8">
        <v>1492</v>
      </c>
    </row>
    <row r="662" spans="1:10" ht="13.5" customHeight="1">
      <c r="A662" s="10"/>
      <c r="B662" s="42"/>
      <c r="C662" s="42"/>
      <c r="D662" s="42"/>
      <c r="E662" s="42"/>
      <c r="F662" s="42"/>
      <c r="G662" s="42"/>
      <c r="H662" s="42"/>
    </row>
    <row r="663" spans="1:10" ht="13.5" customHeight="1">
      <c r="A663" s="9" t="s">
        <v>84</v>
      </c>
      <c r="B663" s="161"/>
      <c r="C663" s="161"/>
      <c r="D663" s="161"/>
      <c r="E663" s="161"/>
      <c r="F663" s="161"/>
      <c r="G663" s="161"/>
      <c r="H663" s="161"/>
    </row>
    <row r="664" spans="1:10" ht="13.5" customHeight="1">
      <c r="B664" s="40"/>
      <c r="C664" s="40"/>
      <c r="D664" s="40"/>
      <c r="E664" s="40"/>
      <c r="F664" s="40"/>
      <c r="G664" s="40"/>
      <c r="H664" s="40"/>
    </row>
    <row r="665" spans="1:10" ht="13.5" customHeight="1">
      <c r="A665" s="52" t="s">
        <v>102</v>
      </c>
    </row>
    <row r="668" spans="1:10" ht="13.5" customHeight="1">
      <c r="A668" s="144" t="s">
        <v>133</v>
      </c>
      <c r="B668" s="110"/>
      <c r="C668" s="110"/>
      <c r="D668" s="110"/>
      <c r="E668" s="110"/>
      <c r="F668" s="111"/>
      <c r="G668" s="110"/>
      <c r="H668" s="112"/>
    </row>
    <row r="669" spans="1:10" ht="13.5" customHeight="1">
      <c r="A669" s="40" t="s">
        <v>1</v>
      </c>
      <c r="B669" s="50"/>
      <c r="C669" s="50"/>
      <c r="D669" s="40"/>
      <c r="E669" s="40"/>
      <c r="F669" s="40"/>
      <c r="G669" s="40"/>
      <c r="H669" s="51"/>
    </row>
    <row r="670" spans="1:10" ht="13.5" customHeight="1">
      <c r="A670" s="40"/>
      <c r="B670" s="50"/>
      <c r="C670" s="50"/>
      <c r="D670" s="40"/>
      <c r="E670" s="40"/>
      <c r="F670" s="40"/>
      <c r="G670" s="40"/>
      <c r="H670" s="51"/>
    </row>
    <row r="671" spans="1:10" ht="13.5" customHeight="1">
      <c r="A671" s="101"/>
      <c r="B671" s="99"/>
      <c r="C671" s="103"/>
      <c r="D671" s="103"/>
      <c r="E671" s="103"/>
      <c r="F671" s="103"/>
      <c r="G671" s="103"/>
      <c r="H671" s="104" t="s">
        <v>42</v>
      </c>
      <c r="J671" s="170" t="s">
        <v>126</v>
      </c>
    </row>
    <row r="672" spans="1:10" ht="13.5" customHeight="1">
      <c r="A672" s="102"/>
      <c r="B672" s="100" t="s">
        <v>2</v>
      </c>
      <c r="C672" s="100">
        <v>1</v>
      </c>
      <c r="D672" s="100">
        <v>2</v>
      </c>
      <c r="E672" s="100">
        <v>3</v>
      </c>
      <c r="F672" s="100">
        <v>4</v>
      </c>
      <c r="G672" s="100">
        <v>5</v>
      </c>
      <c r="H672" s="100" t="s">
        <v>66</v>
      </c>
    </row>
    <row r="673" spans="1:8" ht="13.5" customHeight="1">
      <c r="A673" s="37" t="s">
        <v>2</v>
      </c>
      <c r="B673" s="36"/>
      <c r="C673" s="36"/>
      <c r="D673" s="36"/>
      <c r="E673" s="36"/>
      <c r="F673" s="36"/>
      <c r="G673" s="36"/>
      <c r="H673" s="36"/>
    </row>
    <row r="674" spans="1:8" ht="13.5" customHeight="1">
      <c r="A674" s="37" t="s">
        <v>5</v>
      </c>
      <c r="B674" s="36">
        <v>73209</v>
      </c>
      <c r="C674" s="36">
        <v>10362</v>
      </c>
      <c r="D674" s="36">
        <v>19932</v>
      </c>
      <c r="E674" s="36">
        <v>23265</v>
      </c>
      <c r="F674" s="36">
        <v>11909</v>
      </c>
      <c r="G674" s="36">
        <v>4962</v>
      </c>
      <c r="H674" s="36">
        <v>2779</v>
      </c>
    </row>
    <row r="675" spans="1:8" ht="13.5" customHeight="1">
      <c r="A675" s="9" t="s">
        <v>6</v>
      </c>
      <c r="B675" s="8">
        <v>2152</v>
      </c>
      <c r="C675" s="8">
        <v>13</v>
      </c>
      <c r="D675" s="8">
        <v>38</v>
      </c>
      <c r="E675" s="8">
        <v>149</v>
      </c>
      <c r="F675" s="8">
        <v>419</v>
      </c>
      <c r="G675" s="8">
        <v>662</v>
      </c>
      <c r="H675" s="8">
        <v>871</v>
      </c>
    </row>
    <row r="676" spans="1:8" ht="13.5" customHeight="1">
      <c r="A676" s="9" t="s">
        <v>7</v>
      </c>
      <c r="B676" s="8">
        <v>43939</v>
      </c>
      <c r="C676" s="8">
        <v>5603</v>
      </c>
      <c r="D676" s="8">
        <v>12336</v>
      </c>
      <c r="E676" s="8">
        <v>14693</v>
      </c>
      <c r="F676" s="8">
        <v>7369</v>
      </c>
      <c r="G676" s="8">
        <v>2829</v>
      </c>
      <c r="H676" s="8">
        <v>1109</v>
      </c>
    </row>
    <row r="677" spans="1:8" ht="13.5" customHeight="1">
      <c r="A677" s="10" t="s">
        <v>8</v>
      </c>
      <c r="B677" s="8">
        <v>25539</v>
      </c>
      <c r="C677" s="8">
        <v>4397</v>
      </c>
      <c r="D677" s="8">
        <v>7203</v>
      </c>
      <c r="E677" s="8">
        <v>8019</v>
      </c>
      <c r="F677" s="8">
        <v>3840</v>
      </c>
      <c r="G677" s="8">
        <v>1368</v>
      </c>
      <c r="H677" s="8">
        <v>712</v>
      </c>
    </row>
    <row r="678" spans="1:8" ht="13.5" customHeight="1">
      <c r="A678" s="10" t="s">
        <v>65</v>
      </c>
      <c r="B678" s="8">
        <v>1579</v>
      </c>
      <c r="C678" s="8">
        <v>349</v>
      </c>
      <c r="D678" s="8">
        <v>355</v>
      </c>
      <c r="E678" s="8">
        <v>404</v>
      </c>
      <c r="F678" s="8">
        <v>281</v>
      </c>
      <c r="G678" s="8">
        <v>103</v>
      </c>
      <c r="H678" s="8">
        <v>87</v>
      </c>
    </row>
    <row r="679" spans="1:8" ht="13.5" customHeight="1">
      <c r="A679" s="106" t="s">
        <v>39</v>
      </c>
      <c r="B679" s="36"/>
      <c r="C679" s="36"/>
      <c r="D679" s="36"/>
      <c r="E679" s="36"/>
      <c r="F679" s="36"/>
      <c r="G679" s="36"/>
      <c r="H679" s="36"/>
    </row>
    <row r="680" spans="1:8" ht="13.5" customHeight="1">
      <c r="A680" s="9" t="s">
        <v>10</v>
      </c>
      <c r="B680" s="8">
        <v>13327</v>
      </c>
      <c r="C680" s="8">
        <v>1656</v>
      </c>
      <c r="D680" s="8">
        <v>2970</v>
      </c>
      <c r="E680" s="8">
        <v>4215</v>
      </c>
      <c r="F680" s="8">
        <v>2270</v>
      </c>
      <c r="G680" s="8">
        <v>1260</v>
      </c>
      <c r="H680" s="8">
        <v>956</v>
      </c>
    </row>
    <row r="681" spans="1:8" ht="13.5" customHeight="1">
      <c r="A681" s="9" t="s">
        <v>11</v>
      </c>
      <c r="B681" s="8">
        <v>14355</v>
      </c>
      <c r="C681" s="8">
        <v>2017</v>
      </c>
      <c r="D681" s="8">
        <v>4679</v>
      </c>
      <c r="E681" s="8">
        <v>4691</v>
      </c>
      <c r="F681" s="8">
        <v>1653</v>
      </c>
      <c r="G681" s="8">
        <v>771</v>
      </c>
      <c r="H681" s="8">
        <v>544</v>
      </c>
    </row>
    <row r="682" spans="1:8" ht="13.5" customHeight="1">
      <c r="A682" s="9" t="s">
        <v>12</v>
      </c>
      <c r="B682" s="8">
        <v>17313</v>
      </c>
      <c r="C682" s="8">
        <v>2466</v>
      </c>
      <c r="D682" s="8">
        <v>6519</v>
      </c>
      <c r="E682" s="8">
        <v>5567</v>
      </c>
      <c r="F682" s="8">
        <v>1843</v>
      </c>
      <c r="G682" s="8">
        <v>541</v>
      </c>
      <c r="H682" s="8">
        <v>377</v>
      </c>
    </row>
    <row r="683" spans="1:8" ht="13.5" customHeight="1">
      <c r="A683" s="9" t="s">
        <v>13</v>
      </c>
      <c r="B683" s="8">
        <v>12582</v>
      </c>
      <c r="C683" s="8">
        <v>2455</v>
      </c>
      <c r="D683" s="8">
        <v>3096</v>
      </c>
      <c r="E683" s="8">
        <v>4322</v>
      </c>
      <c r="F683" s="8">
        <v>1839</v>
      </c>
      <c r="G683" s="8">
        <v>552</v>
      </c>
      <c r="H683" s="8">
        <v>318</v>
      </c>
    </row>
    <row r="684" spans="1:8" ht="13.5" customHeight="1">
      <c r="A684" s="9" t="s">
        <v>14</v>
      </c>
      <c r="B684" s="8">
        <v>6093</v>
      </c>
      <c r="C684" s="8">
        <v>1225</v>
      </c>
      <c r="D684" s="8">
        <v>1189</v>
      </c>
      <c r="E684" s="8">
        <v>1814</v>
      </c>
      <c r="F684" s="8">
        <v>1244</v>
      </c>
      <c r="G684" s="8">
        <v>445</v>
      </c>
      <c r="H684" s="8">
        <v>176</v>
      </c>
    </row>
    <row r="685" spans="1:8" ht="13.5" customHeight="1">
      <c r="A685" s="9" t="s">
        <v>15</v>
      </c>
      <c r="B685" s="8">
        <v>1320</v>
      </c>
      <c r="C685" s="8">
        <v>47</v>
      </c>
      <c r="D685" s="8">
        <v>206</v>
      </c>
      <c r="E685" s="8">
        <v>395</v>
      </c>
      <c r="F685" s="8">
        <v>431</v>
      </c>
      <c r="G685" s="8">
        <v>187</v>
      </c>
      <c r="H685" s="8">
        <v>54</v>
      </c>
    </row>
    <row r="686" spans="1:8" ht="13.5" customHeight="1">
      <c r="A686" s="9" t="s">
        <v>16</v>
      </c>
      <c r="B686" s="8">
        <v>1794</v>
      </c>
      <c r="C686" s="8">
        <v>139</v>
      </c>
      <c r="D686" s="8">
        <v>317</v>
      </c>
      <c r="E686" s="8">
        <v>482</v>
      </c>
      <c r="F686" s="8">
        <v>550</v>
      </c>
      <c r="G686" s="8">
        <v>247</v>
      </c>
      <c r="H686" s="8">
        <v>59</v>
      </c>
    </row>
    <row r="687" spans="1:8" ht="13.5" customHeight="1">
      <c r="A687" s="9" t="s">
        <v>17</v>
      </c>
      <c r="B687" s="8">
        <v>823</v>
      </c>
      <c r="C687" s="8">
        <v>84</v>
      </c>
      <c r="D687" s="8">
        <v>179</v>
      </c>
      <c r="E687" s="8">
        <v>236</v>
      </c>
      <c r="F687" s="8">
        <v>171</v>
      </c>
      <c r="G687" s="8">
        <v>119</v>
      </c>
      <c r="H687" s="8">
        <v>34</v>
      </c>
    </row>
    <row r="688" spans="1:8" ht="13.5" customHeight="1">
      <c r="A688" s="9" t="s">
        <v>18</v>
      </c>
      <c r="B688" s="8">
        <v>2495</v>
      </c>
      <c r="C688" s="8">
        <v>102</v>
      </c>
      <c r="D688" s="8">
        <v>351</v>
      </c>
      <c r="E688" s="8">
        <v>784</v>
      </c>
      <c r="F688" s="8">
        <v>657</v>
      </c>
      <c r="G688" s="8">
        <v>468</v>
      </c>
      <c r="H688" s="8">
        <v>133</v>
      </c>
    </row>
    <row r="689" spans="1:8" ht="13.5" customHeight="1">
      <c r="A689" s="9" t="s">
        <v>19</v>
      </c>
      <c r="B689" s="8">
        <v>998</v>
      </c>
      <c r="C689" s="8">
        <v>55</v>
      </c>
      <c r="D689" s="8">
        <v>86</v>
      </c>
      <c r="E689" s="8">
        <v>223</v>
      </c>
      <c r="F689" s="8">
        <v>412</v>
      </c>
      <c r="G689" s="8">
        <v>175</v>
      </c>
      <c r="H689" s="8">
        <v>47</v>
      </c>
    </row>
    <row r="690" spans="1:8" ht="13.5" customHeight="1">
      <c r="A690" s="9" t="s">
        <v>20</v>
      </c>
      <c r="B690" s="8">
        <v>2109</v>
      </c>
      <c r="C690" s="8">
        <v>116</v>
      </c>
      <c r="D690" s="8">
        <v>340</v>
      </c>
      <c r="E690" s="8">
        <v>536</v>
      </c>
      <c r="F690" s="8">
        <v>839</v>
      </c>
      <c r="G690" s="8">
        <v>197</v>
      </c>
      <c r="H690" s="8">
        <v>81</v>
      </c>
    </row>
    <row r="691" spans="1:8" ht="13.5" customHeight="1">
      <c r="A691" s="106" t="s">
        <v>40</v>
      </c>
      <c r="B691" s="36"/>
      <c r="C691" s="36"/>
      <c r="D691" s="36"/>
      <c r="E691" s="36"/>
      <c r="F691" s="36"/>
      <c r="G691" s="36"/>
      <c r="H691" s="36"/>
    </row>
    <row r="692" spans="1:8" ht="13.5" customHeight="1">
      <c r="A692" s="9" t="s">
        <v>23</v>
      </c>
      <c r="B692" s="8">
        <v>106</v>
      </c>
      <c r="C692" s="8">
        <v>6</v>
      </c>
      <c r="D692" s="8">
        <v>22</v>
      </c>
      <c r="E692" s="8">
        <v>33</v>
      </c>
      <c r="F692" s="8">
        <v>26</v>
      </c>
      <c r="G692" s="8">
        <v>8</v>
      </c>
      <c r="H692" s="8">
        <v>11</v>
      </c>
    </row>
    <row r="693" spans="1:8" ht="13.5" customHeight="1">
      <c r="A693" s="9" t="s">
        <v>24</v>
      </c>
      <c r="B693" s="8">
        <v>1806</v>
      </c>
      <c r="C693" s="8">
        <v>149</v>
      </c>
      <c r="D693" s="8">
        <v>138</v>
      </c>
      <c r="E693" s="8">
        <v>292</v>
      </c>
      <c r="F693" s="8">
        <v>423</v>
      </c>
      <c r="G693" s="8">
        <v>439</v>
      </c>
      <c r="H693" s="8">
        <v>365</v>
      </c>
    </row>
    <row r="694" spans="1:8" ht="13.5" customHeight="1">
      <c r="A694" s="9" t="s">
        <v>25</v>
      </c>
      <c r="B694" s="8">
        <v>4060</v>
      </c>
      <c r="C694" s="8">
        <v>243</v>
      </c>
      <c r="D694" s="8">
        <v>572</v>
      </c>
      <c r="E694" s="8">
        <v>1037</v>
      </c>
      <c r="F694" s="8">
        <v>889</v>
      </c>
      <c r="G694" s="8">
        <v>595</v>
      </c>
      <c r="H694" s="8">
        <v>724</v>
      </c>
    </row>
    <row r="695" spans="1:8" ht="13.5" customHeight="1">
      <c r="A695" s="9" t="s">
        <v>26</v>
      </c>
      <c r="B695" s="8">
        <v>11707</v>
      </c>
      <c r="C695" s="8">
        <v>1267</v>
      </c>
      <c r="D695" s="8">
        <v>3213</v>
      </c>
      <c r="E695" s="8">
        <v>4243</v>
      </c>
      <c r="F695" s="8">
        <v>1856</v>
      </c>
      <c r="G695" s="8">
        <v>731</v>
      </c>
      <c r="H695" s="8">
        <v>397</v>
      </c>
    </row>
    <row r="696" spans="1:8" ht="13.5" customHeight="1">
      <c r="A696" s="9" t="s">
        <v>27</v>
      </c>
      <c r="B696" s="8">
        <v>19101</v>
      </c>
      <c r="C696" s="8">
        <v>2462</v>
      </c>
      <c r="D696" s="8">
        <v>5860</v>
      </c>
      <c r="E696" s="8">
        <v>6398</v>
      </c>
      <c r="F696" s="8">
        <v>2999</v>
      </c>
      <c r="G696" s="8">
        <v>988</v>
      </c>
      <c r="H696" s="8">
        <v>394</v>
      </c>
    </row>
    <row r="697" spans="1:8" ht="13.5" customHeight="1">
      <c r="A697" s="9" t="s">
        <v>28</v>
      </c>
      <c r="B697" s="8">
        <v>14527</v>
      </c>
      <c r="C697" s="8">
        <v>2524</v>
      </c>
      <c r="D697" s="8">
        <v>4263</v>
      </c>
      <c r="E697" s="8">
        <v>4628</v>
      </c>
      <c r="F697" s="8">
        <v>2134</v>
      </c>
      <c r="G697" s="8">
        <v>656</v>
      </c>
      <c r="H697" s="8">
        <v>322</v>
      </c>
    </row>
    <row r="698" spans="1:8" ht="13.5" customHeight="1">
      <c r="A698" s="9" t="s">
        <v>29</v>
      </c>
      <c r="B698" s="8">
        <v>10557</v>
      </c>
      <c r="C698" s="8">
        <v>1886</v>
      </c>
      <c r="D698" s="8">
        <v>2944</v>
      </c>
      <c r="E698" s="8">
        <v>3105</v>
      </c>
      <c r="F698" s="8">
        <v>1677</v>
      </c>
      <c r="G698" s="8">
        <v>702</v>
      </c>
      <c r="H698" s="8">
        <v>243</v>
      </c>
    </row>
    <row r="699" spans="1:8" ht="13.5" customHeight="1">
      <c r="A699" s="9" t="s">
        <v>30</v>
      </c>
      <c r="B699" s="8">
        <v>11345</v>
      </c>
      <c r="C699" s="8">
        <v>1825</v>
      </c>
      <c r="D699" s="8">
        <v>2920</v>
      </c>
      <c r="E699" s="8">
        <v>3529</v>
      </c>
      <c r="F699" s="8">
        <v>1905</v>
      </c>
      <c r="G699" s="8">
        <v>843</v>
      </c>
      <c r="H699" s="8">
        <v>323</v>
      </c>
    </row>
    <row r="700" spans="1:8" ht="13.5" customHeight="1">
      <c r="A700" s="106" t="s">
        <v>41</v>
      </c>
      <c r="B700" s="36"/>
      <c r="C700" s="36"/>
      <c r="D700" s="36"/>
      <c r="E700" s="36"/>
      <c r="F700" s="36"/>
      <c r="G700" s="36"/>
      <c r="H700" s="36"/>
    </row>
    <row r="701" spans="1:8" ht="13.5" customHeight="1">
      <c r="A701" s="10" t="s">
        <v>97</v>
      </c>
      <c r="B701" s="8">
        <v>10196</v>
      </c>
      <c r="C701" s="8">
        <v>8857</v>
      </c>
      <c r="D701" s="8">
        <v>1320</v>
      </c>
      <c r="E701" s="8">
        <v>18</v>
      </c>
      <c r="F701" s="8">
        <v>1</v>
      </c>
      <c r="G701" s="8">
        <v>0</v>
      </c>
      <c r="H701" s="8">
        <v>0</v>
      </c>
    </row>
    <row r="702" spans="1:8" ht="13.5" customHeight="1">
      <c r="A702" s="10" t="s">
        <v>59</v>
      </c>
      <c r="B702" s="8">
        <v>18155</v>
      </c>
      <c r="C702" s="8">
        <v>1358</v>
      </c>
      <c r="D702" s="8">
        <v>14234</v>
      </c>
      <c r="E702" s="8">
        <v>2484</v>
      </c>
      <c r="F702" s="8">
        <v>68</v>
      </c>
      <c r="G702" s="8">
        <v>11</v>
      </c>
      <c r="H702" s="8">
        <v>0</v>
      </c>
    </row>
    <row r="703" spans="1:8" ht="13.5" customHeight="1">
      <c r="A703" s="10" t="s">
        <v>60</v>
      </c>
      <c r="B703" s="8">
        <v>21472</v>
      </c>
      <c r="C703" s="8">
        <v>95</v>
      </c>
      <c r="D703" s="8">
        <v>3995</v>
      </c>
      <c r="E703" s="8">
        <v>15235</v>
      </c>
      <c r="F703" s="8">
        <v>2033</v>
      </c>
      <c r="G703" s="8">
        <v>99</v>
      </c>
      <c r="H703" s="8">
        <v>15</v>
      </c>
    </row>
    <row r="704" spans="1:8" ht="13.5" customHeight="1">
      <c r="A704" s="10" t="s">
        <v>61</v>
      </c>
      <c r="B704" s="8">
        <v>11555</v>
      </c>
      <c r="C704" s="8">
        <v>27</v>
      </c>
      <c r="D704" s="8">
        <v>271</v>
      </c>
      <c r="E704" s="8">
        <v>4778</v>
      </c>
      <c r="F704" s="8">
        <v>5782</v>
      </c>
      <c r="G704" s="8">
        <v>657</v>
      </c>
      <c r="H704" s="8">
        <v>40</v>
      </c>
    </row>
    <row r="705" spans="1:8" ht="13.5" customHeight="1">
      <c r="A705" s="10" t="s">
        <v>62</v>
      </c>
      <c r="B705" s="8">
        <v>5717</v>
      </c>
      <c r="C705" s="8">
        <v>6</v>
      </c>
      <c r="D705" s="8">
        <v>63</v>
      </c>
      <c r="E705" s="8">
        <v>547</v>
      </c>
      <c r="F705" s="8">
        <v>3087</v>
      </c>
      <c r="G705" s="8">
        <v>1780</v>
      </c>
      <c r="H705" s="8">
        <v>234</v>
      </c>
    </row>
    <row r="706" spans="1:8" ht="13.5" customHeight="1">
      <c r="A706" s="10" t="s">
        <v>63</v>
      </c>
      <c r="B706" s="8">
        <v>3953</v>
      </c>
      <c r="C706" s="8">
        <v>8</v>
      </c>
      <c r="D706" s="8">
        <v>46</v>
      </c>
      <c r="E706" s="8">
        <v>165</v>
      </c>
      <c r="F706" s="8">
        <v>831</v>
      </c>
      <c r="G706" s="8">
        <v>1913</v>
      </c>
      <c r="H706" s="8">
        <v>990</v>
      </c>
    </row>
    <row r="707" spans="1:8" ht="13.5" customHeight="1">
      <c r="A707" s="10" t="s">
        <v>96</v>
      </c>
      <c r="B707" s="8">
        <v>2161</v>
      </c>
      <c r="C707" s="8">
        <v>11</v>
      </c>
      <c r="D707" s="8">
        <v>3</v>
      </c>
      <c r="E707" s="8">
        <v>38</v>
      </c>
      <c r="F707" s="8">
        <v>107</v>
      </c>
      <c r="G707" s="8">
        <v>502</v>
      </c>
      <c r="H707" s="8">
        <v>1500</v>
      </c>
    </row>
    <row r="708" spans="1:8" ht="13.5" customHeight="1">
      <c r="A708" s="10"/>
      <c r="B708" s="42"/>
      <c r="C708" s="42"/>
      <c r="D708" s="42"/>
      <c r="E708" s="42"/>
      <c r="F708" s="42"/>
      <c r="G708" s="42"/>
      <c r="H708" s="42"/>
    </row>
    <row r="709" spans="1:8" ht="13.5" customHeight="1">
      <c r="A709" s="9" t="s">
        <v>84</v>
      </c>
      <c r="B709" s="161"/>
      <c r="C709" s="161"/>
      <c r="D709" s="161"/>
      <c r="E709" s="161"/>
      <c r="F709" s="161"/>
      <c r="G709" s="161"/>
      <c r="H709" s="161"/>
    </row>
    <row r="710" spans="1:8" ht="13.5" customHeight="1">
      <c r="B710" s="40"/>
      <c r="C710" s="40"/>
      <c r="D710" s="40"/>
      <c r="E710" s="40"/>
      <c r="F710" s="40"/>
      <c r="G710" s="40"/>
      <c r="H710" s="40"/>
    </row>
    <row r="711" spans="1:8" ht="13.5" customHeight="1">
      <c r="A711" s="52" t="s">
        <v>102</v>
      </c>
    </row>
  </sheetData>
  <hyperlinks>
    <hyperlink ref="J246" location="T09.01.03!A1" display="Haut de page" xr:uid="{00000000-0004-0000-0300-000000000000}"/>
    <hyperlink ref="J340" location="T09.01.03!A1" display="Haut de page" xr:uid="{00000000-0004-0000-0300-000001000000}"/>
    <hyperlink ref="J388" location="T09.01.03!A1" display="Haut de page" xr:uid="{00000000-0004-0000-0300-000002000000}"/>
    <hyperlink ref="J436" location="T09.01.03!A1" display="Haut de page" xr:uid="{00000000-0004-0000-0300-000003000000}"/>
    <hyperlink ref="J483" location="T09.01.03!A1" display="Haut de page" xr:uid="{00000000-0004-0000-0300-000004000000}"/>
    <hyperlink ref="J530" location="T09.01.03!A1" display="Haut de page" xr:uid="{00000000-0004-0000-0300-000005000000}"/>
    <hyperlink ref="J294" location="T09.01.03!A1" display="Haut de page" xr:uid="{00000000-0004-0000-0300-000006000000}"/>
    <hyperlink ref="J577" location="T09.01.03!A1" display="Haut de page" xr:uid="{00000000-0004-0000-0300-000007000000}"/>
    <hyperlink ref="J624" location="T09.01.03!A1" display="Haut de page" xr:uid="{00000000-0004-0000-0300-000008000000}"/>
    <hyperlink ref="J671" location="T09.01.03!A1" display="Haut de page" xr:uid="{00000000-0004-0000-0300-000009000000}"/>
    <hyperlink ref="J198" location="T09.01.03!A1" display="Haut de page" xr:uid="{00000000-0004-0000-0300-00000A000000}"/>
    <hyperlink ref="J150" location="T09.01.03!A1" display="Haut de page" xr:uid="{00000000-0004-0000-0300-00000B000000}"/>
    <hyperlink ref="J102" location="T09.01.03!A1" display="Haut de page" xr:uid="{00000000-0004-0000-0300-000018000000}"/>
    <hyperlink ref="J11" location="T09.01.03_2017" display="T09.01.03_2017" xr:uid="{7C34572A-3064-4737-86DF-89386A900975}"/>
    <hyperlink ref="K6" location="T09.01.03_2015" display="T09.01.03_2015" xr:uid="{AE02B4CE-C922-4AAD-AD91-01B519725720}"/>
    <hyperlink ref="K7" location="T09.01.03_2014" display="T09.01.03_2014" xr:uid="{E389848C-EAB9-4E7F-8B27-901CB3732804}"/>
    <hyperlink ref="K8" location="T09.01.03_2013" display="T09.01.03_2013" xr:uid="{0073D404-4009-45FB-AFB1-DAB90B7CF03E}"/>
    <hyperlink ref="K5" location="T09.01.03_2016" display="T09.01.03_2016" xr:uid="{318EE663-0B96-4AB1-9594-10229904DE99}"/>
    <hyperlink ref="K9" location="T09.01.03_2012" display="T09.01.03_2012" xr:uid="{E17A14DE-D5D7-4702-8714-FFD55012BFA5}"/>
    <hyperlink ref="K10" location="T09.01.03_2011" display="T09.01.03_2011" xr:uid="{F7ED3222-34A9-4E64-8FBE-FD391A294C10}"/>
    <hyperlink ref="J9" location="T09.01.03_2019" display="T09.01.03_2019" xr:uid="{17BBE429-F008-4A5F-8B16-694F6FF49224}"/>
    <hyperlink ref="J10" location="T09.01.03_2018" display="T09.01.03_2018" xr:uid="{6CDA180C-8B2E-41A6-81CF-FB511EE0DFA4}"/>
    <hyperlink ref="K11" location="T09.01.03_2010" display="T09.01.03_2010" xr:uid="{FEA7192A-88DD-4777-B1D0-ECA1A225240A}"/>
    <hyperlink ref="J8" location="T09.01.03_2020" display="T09.01.03_2020" xr:uid="{C0992812-943A-436A-BE67-F6E1838CB264}"/>
    <hyperlink ref="J7" location="T09.01.03_2021" display="T09.01.03_2021" xr:uid="{3A4DF44F-6708-4D6D-AB2A-79C125A98099}"/>
    <hyperlink ref="J5" location="T09.01.03_2022" display="T09.01.03_2022" xr:uid="{DBAED6BE-058F-4039-AC73-565E674C4715}"/>
    <hyperlink ref="J53" location="T09.01.03!A1" display="Haut de page" xr:uid="{5D8D7178-DC00-4133-8020-F5C0AB736EC7}"/>
    <hyperlink ref="J6" location="T09.01.03_2022_a" display="T09.01.03_2022_a" xr:uid="{E4A90DA4-AD21-429C-B975-2FABF70301F9}"/>
  </hyperlink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96"/>
  <sheetViews>
    <sheetView zoomScaleNormal="100" workbookViewId="0">
      <selection activeCell="L32" sqref="L32"/>
    </sheetView>
  </sheetViews>
  <sheetFormatPr baseColWidth="10" defaultColWidth="11.5" defaultRowHeight="13.5" customHeight="1"/>
  <cols>
    <col min="1" max="1" width="35.6640625" style="12" customWidth="1"/>
    <col min="2" max="9" width="10.6640625" style="12" customWidth="1"/>
    <col min="10" max="10" width="11.5" style="12"/>
    <col min="11" max="11" width="12.33203125" style="12" customWidth="1"/>
    <col min="12" max="16384" width="11.5" style="12"/>
  </cols>
  <sheetData>
    <row r="1" spans="1:14" ht="13.5" customHeight="1">
      <c r="A1" s="86" t="s">
        <v>194</v>
      </c>
      <c r="B1" s="87"/>
      <c r="C1" s="87"/>
      <c r="D1" s="87"/>
      <c r="E1" s="87"/>
      <c r="F1" s="159"/>
      <c r="G1" s="87"/>
      <c r="H1" s="53"/>
      <c r="I1" s="89"/>
    </row>
    <row r="2" spans="1:14" ht="13.5" customHeight="1">
      <c r="A2" s="58" t="s">
        <v>1</v>
      </c>
      <c r="B2" s="58"/>
      <c r="C2" s="58"/>
      <c r="D2" s="58"/>
      <c r="E2" s="58"/>
      <c r="F2" s="58"/>
      <c r="G2" s="58"/>
      <c r="H2" s="160"/>
      <c r="I2" s="62"/>
    </row>
    <row r="3" spans="1:14" ht="13.5" customHeight="1">
      <c r="A3" s="58"/>
      <c r="B3" s="58"/>
      <c r="C3" s="42"/>
      <c r="D3" s="42"/>
      <c r="E3" s="42"/>
      <c r="F3" s="42"/>
      <c r="G3" s="42"/>
      <c r="H3" s="42"/>
      <c r="I3" s="42"/>
    </row>
    <row r="4" spans="1:14" ht="13.5" customHeight="1">
      <c r="A4" s="114"/>
      <c r="B4" s="114"/>
      <c r="C4" s="116"/>
      <c r="D4" s="116"/>
      <c r="E4" s="116"/>
      <c r="F4" s="116"/>
      <c r="G4" s="116"/>
      <c r="H4" s="116"/>
      <c r="I4" s="117" t="s">
        <v>73</v>
      </c>
      <c r="K4" s="167" t="s">
        <v>125</v>
      </c>
      <c r="L4" s="168"/>
    </row>
    <row r="5" spans="1:14" ht="13.5" customHeight="1">
      <c r="A5" s="153"/>
      <c r="B5" s="152" t="s">
        <v>2</v>
      </c>
      <c r="C5" s="152" t="s">
        <v>99</v>
      </c>
      <c r="D5" s="154" t="s">
        <v>67</v>
      </c>
      <c r="E5" s="154" t="s">
        <v>68</v>
      </c>
      <c r="F5" s="154" t="s">
        <v>69</v>
      </c>
      <c r="G5" s="154" t="s">
        <v>70</v>
      </c>
      <c r="H5" s="154" t="s">
        <v>71</v>
      </c>
      <c r="I5" s="154" t="s">
        <v>72</v>
      </c>
      <c r="K5" s="169">
        <v>2023</v>
      </c>
      <c r="L5" s="169">
        <v>2016</v>
      </c>
      <c r="N5" s="173"/>
    </row>
    <row r="6" spans="1:14" ht="13.5" customHeight="1">
      <c r="A6" s="37" t="s">
        <v>2</v>
      </c>
      <c r="B6" s="36">
        <v>82321</v>
      </c>
      <c r="C6" s="36">
        <v>11905</v>
      </c>
      <c r="D6" s="105">
        <v>19689</v>
      </c>
      <c r="E6" s="105">
        <v>23674</v>
      </c>
      <c r="F6" s="105">
        <v>13579</v>
      </c>
      <c r="G6" s="105">
        <v>6772</v>
      </c>
      <c r="H6" s="105">
        <v>4417</v>
      </c>
      <c r="I6" s="105">
        <v>2285</v>
      </c>
      <c r="K6" s="169">
        <v>2022</v>
      </c>
      <c r="L6" s="169">
        <v>2015</v>
      </c>
    </row>
    <row r="7" spans="1:14" ht="13.5" customHeight="1">
      <c r="A7" s="37" t="s">
        <v>5</v>
      </c>
      <c r="B7" s="36"/>
      <c r="C7" s="36"/>
      <c r="D7" s="36"/>
      <c r="E7" s="36"/>
      <c r="F7" s="36"/>
      <c r="G7" s="36"/>
      <c r="H7" s="36"/>
      <c r="I7" s="36"/>
      <c r="K7" s="169">
        <v>2021</v>
      </c>
      <c r="L7" s="169">
        <v>2014</v>
      </c>
    </row>
    <row r="8" spans="1:14" ht="13.5" customHeight="1">
      <c r="A8" s="9" t="s">
        <v>6</v>
      </c>
      <c r="B8" s="8">
        <v>2192</v>
      </c>
      <c r="C8" s="8">
        <v>16</v>
      </c>
      <c r="D8" s="8">
        <v>31</v>
      </c>
      <c r="E8" s="8">
        <v>144</v>
      </c>
      <c r="F8" s="8">
        <v>201</v>
      </c>
      <c r="G8" s="8">
        <v>271</v>
      </c>
      <c r="H8" s="8">
        <v>728</v>
      </c>
      <c r="I8" s="8">
        <v>801</v>
      </c>
      <c r="J8" s="172"/>
      <c r="K8" s="169">
        <v>2020</v>
      </c>
      <c r="L8" s="169">
        <v>2013</v>
      </c>
    </row>
    <row r="9" spans="1:14" ht="13.5" customHeight="1">
      <c r="A9" s="9" t="s">
        <v>7</v>
      </c>
      <c r="B9" s="8">
        <v>48825</v>
      </c>
      <c r="C9" s="8">
        <v>6139</v>
      </c>
      <c r="D9" s="8">
        <v>12315</v>
      </c>
      <c r="E9" s="8">
        <v>14767</v>
      </c>
      <c r="F9" s="8">
        <v>8252</v>
      </c>
      <c r="G9" s="8">
        <v>4203</v>
      </c>
      <c r="H9" s="8">
        <v>2209</v>
      </c>
      <c r="I9" s="8">
        <v>940</v>
      </c>
      <c r="J9" s="172"/>
      <c r="K9" s="169">
        <v>2019</v>
      </c>
      <c r="L9" s="169">
        <v>2012</v>
      </c>
    </row>
    <row r="10" spans="1:14" ht="13.5" customHeight="1">
      <c r="A10" s="10" t="s">
        <v>8</v>
      </c>
      <c r="B10" s="8">
        <v>30583</v>
      </c>
      <c r="C10" s="8">
        <v>5479</v>
      </c>
      <c r="D10" s="8">
        <v>7283</v>
      </c>
      <c r="E10" s="8">
        <v>8673</v>
      </c>
      <c r="F10" s="8">
        <v>5016</v>
      </c>
      <c r="G10" s="8">
        <v>2213</v>
      </c>
      <c r="H10" s="8">
        <v>1410</v>
      </c>
      <c r="I10" s="8">
        <v>509</v>
      </c>
      <c r="J10" s="172"/>
      <c r="K10" s="169">
        <v>2018</v>
      </c>
      <c r="L10" s="169">
        <v>2011</v>
      </c>
    </row>
    <row r="11" spans="1:14" ht="13.5" customHeight="1">
      <c r="A11" s="10" t="s">
        <v>65</v>
      </c>
      <c r="B11" s="8">
        <v>721</v>
      </c>
      <c r="C11" s="8">
        <v>271</v>
      </c>
      <c r="D11" s="8">
        <v>60</v>
      </c>
      <c r="E11" s="8">
        <v>90</v>
      </c>
      <c r="F11" s="8">
        <v>110</v>
      </c>
      <c r="G11" s="8">
        <v>85</v>
      </c>
      <c r="H11" s="8">
        <v>70</v>
      </c>
      <c r="I11" s="8">
        <v>35</v>
      </c>
      <c r="J11" s="172"/>
      <c r="K11" s="169">
        <v>2017</v>
      </c>
      <c r="L11" s="169">
        <v>2010</v>
      </c>
    </row>
    <row r="12" spans="1:14" ht="13.5" customHeight="1">
      <c r="A12" s="106" t="s">
        <v>39</v>
      </c>
      <c r="B12" s="36"/>
      <c r="C12" s="36"/>
      <c r="D12" s="36"/>
      <c r="E12" s="36"/>
      <c r="F12" s="36"/>
      <c r="G12" s="36"/>
      <c r="H12" s="36"/>
      <c r="I12" s="36"/>
      <c r="J12" s="172"/>
    </row>
    <row r="13" spans="1:14" ht="13.5" customHeight="1">
      <c r="A13" s="9" t="s">
        <v>10</v>
      </c>
      <c r="B13" s="8">
        <v>12834</v>
      </c>
      <c r="C13" s="8">
        <v>1593</v>
      </c>
      <c r="D13" s="8">
        <v>2495</v>
      </c>
      <c r="E13" s="8">
        <v>3355</v>
      </c>
      <c r="F13" s="8">
        <v>2101</v>
      </c>
      <c r="G13" s="8">
        <v>1289</v>
      </c>
      <c r="H13" s="8">
        <v>1228</v>
      </c>
      <c r="I13" s="8">
        <v>773</v>
      </c>
      <c r="J13" s="172"/>
    </row>
    <row r="14" spans="1:14" ht="13.5" customHeight="1">
      <c r="A14" s="9" t="s">
        <v>11</v>
      </c>
      <c r="B14" s="8">
        <v>14754</v>
      </c>
      <c r="C14" s="8">
        <v>1551</v>
      </c>
      <c r="D14" s="8">
        <v>3890</v>
      </c>
      <c r="E14" s="8">
        <v>4805</v>
      </c>
      <c r="F14" s="8">
        <v>2404</v>
      </c>
      <c r="G14" s="8">
        <v>930</v>
      </c>
      <c r="H14" s="8">
        <v>801</v>
      </c>
      <c r="I14" s="8">
        <v>373</v>
      </c>
      <c r="J14" s="172"/>
    </row>
    <row r="15" spans="1:14" ht="13.5" customHeight="1">
      <c r="A15" s="9" t="s">
        <v>12</v>
      </c>
      <c r="B15" s="8">
        <v>17811</v>
      </c>
      <c r="C15" s="8">
        <v>2770</v>
      </c>
      <c r="D15" s="8">
        <v>6287</v>
      </c>
      <c r="E15" s="8">
        <v>5906</v>
      </c>
      <c r="F15" s="8">
        <v>1713</v>
      </c>
      <c r="G15" s="8">
        <v>599</v>
      </c>
      <c r="H15" s="8">
        <v>332</v>
      </c>
      <c r="I15" s="8">
        <v>204</v>
      </c>
      <c r="J15" s="172"/>
    </row>
    <row r="16" spans="1:14" ht="13.5" customHeight="1">
      <c r="A16" s="9" t="s">
        <v>13</v>
      </c>
      <c r="B16" s="8">
        <v>13926</v>
      </c>
      <c r="C16" s="8">
        <v>3413</v>
      </c>
      <c r="D16" s="8">
        <v>3174</v>
      </c>
      <c r="E16" s="8">
        <v>4326</v>
      </c>
      <c r="F16" s="8">
        <v>1770</v>
      </c>
      <c r="G16" s="8">
        <v>619</v>
      </c>
      <c r="H16" s="8">
        <v>416</v>
      </c>
      <c r="I16" s="8">
        <v>208</v>
      </c>
      <c r="J16" s="172"/>
    </row>
    <row r="17" spans="1:10" ht="13.5" customHeight="1">
      <c r="A17" s="9" t="s">
        <v>14</v>
      </c>
      <c r="B17" s="8">
        <v>5879</v>
      </c>
      <c r="C17" s="8">
        <v>1151</v>
      </c>
      <c r="D17" s="8">
        <v>924</v>
      </c>
      <c r="E17" s="8">
        <v>1421</v>
      </c>
      <c r="F17" s="8">
        <v>1330</v>
      </c>
      <c r="G17" s="8">
        <v>571</v>
      </c>
      <c r="H17" s="8">
        <v>309</v>
      </c>
      <c r="I17" s="8">
        <v>173</v>
      </c>
      <c r="J17" s="172"/>
    </row>
    <row r="18" spans="1:10" ht="13.5" customHeight="1">
      <c r="A18" s="9" t="s">
        <v>15</v>
      </c>
      <c r="B18" s="8">
        <v>1842</v>
      </c>
      <c r="C18" s="8">
        <v>47</v>
      </c>
      <c r="D18" s="8">
        <v>252</v>
      </c>
      <c r="E18" s="8">
        <v>431</v>
      </c>
      <c r="F18" s="8">
        <v>498</v>
      </c>
      <c r="G18" s="8">
        <v>402</v>
      </c>
      <c r="H18" s="8">
        <v>142</v>
      </c>
      <c r="I18" s="8">
        <v>70</v>
      </c>
      <c r="J18" s="172"/>
    </row>
    <row r="19" spans="1:10" ht="13.5" customHeight="1">
      <c r="A19" s="9" t="s">
        <v>16</v>
      </c>
      <c r="B19" s="8">
        <v>1772</v>
      </c>
      <c r="C19" s="8">
        <v>108</v>
      </c>
      <c r="D19" s="8">
        <v>260</v>
      </c>
      <c r="E19" s="8">
        <v>287</v>
      </c>
      <c r="F19" s="8">
        <v>438</v>
      </c>
      <c r="G19" s="8">
        <v>397</v>
      </c>
      <c r="H19" s="8">
        <v>193</v>
      </c>
      <c r="I19" s="8">
        <v>89</v>
      </c>
      <c r="J19" s="172"/>
    </row>
    <row r="20" spans="1:10" ht="13.5" customHeight="1">
      <c r="A20" s="9" t="s">
        <v>17</v>
      </c>
      <c r="B20" s="8">
        <v>1011</v>
      </c>
      <c r="C20" s="8">
        <v>170</v>
      </c>
      <c r="D20" s="8">
        <v>189</v>
      </c>
      <c r="E20" s="8">
        <v>188</v>
      </c>
      <c r="F20" s="8">
        <v>220</v>
      </c>
      <c r="G20" s="8">
        <v>98</v>
      </c>
      <c r="H20" s="8">
        <v>81</v>
      </c>
      <c r="I20" s="8">
        <v>65</v>
      </c>
      <c r="J20" s="172"/>
    </row>
    <row r="21" spans="1:10" ht="13.5" customHeight="1">
      <c r="A21" s="9" t="s">
        <v>18</v>
      </c>
      <c r="B21" s="8">
        <v>995</v>
      </c>
      <c r="C21" s="8">
        <v>22</v>
      </c>
      <c r="D21" s="8">
        <v>106</v>
      </c>
      <c r="E21" s="8">
        <v>245</v>
      </c>
      <c r="F21" s="8">
        <v>242</v>
      </c>
      <c r="G21" s="8">
        <v>210</v>
      </c>
      <c r="H21" s="8">
        <v>113</v>
      </c>
      <c r="I21" s="8">
        <v>57</v>
      </c>
      <c r="J21" s="172"/>
    </row>
    <row r="22" spans="1:10" ht="13.5" customHeight="1">
      <c r="A22" s="9" t="s">
        <v>19</v>
      </c>
      <c r="B22" s="8">
        <v>1001</v>
      </c>
      <c r="C22" s="8">
        <v>26</v>
      </c>
      <c r="D22" s="8">
        <v>76</v>
      </c>
      <c r="E22" s="8">
        <v>123</v>
      </c>
      <c r="F22" s="8">
        <v>281</v>
      </c>
      <c r="G22" s="8">
        <v>308</v>
      </c>
      <c r="H22" s="8">
        <v>120</v>
      </c>
      <c r="I22" s="8">
        <v>67</v>
      </c>
      <c r="J22" s="172"/>
    </row>
    <row r="23" spans="1:10" ht="13.5" customHeight="1">
      <c r="A23" s="9" t="s">
        <v>20</v>
      </c>
      <c r="B23" s="8">
        <v>2223</v>
      </c>
      <c r="C23" s="8">
        <v>100</v>
      </c>
      <c r="D23" s="8">
        <v>248</v>
      </c>
      <c r="E23" s="8">
        <v>421</v>
      </c>
      <c r="F23" s="8">
        <v>611</v>
      </c>
      <c r="G23" s="8">
        <v>481</v>
      </c>
      <c r="H23" s="8">
        <v>278</v>
      </c>
      <c r="I23" s="8">
        <v>84</v>
      </c>
      <c r="J23" s="172"/>
    </row>
    <row r="24" spans="1:10" ht="13.5" customHeight="1">
      <c r="A24" s="9" t="s">
        <v>21</v>
      </c>
      <c r="B24" s="8">
        <v>2297</v>
      </c>
      <c r="C24" s="8">
        <v>251</v>
      </c>
      <c r="D24" s="8">
        <v>357</v>
      </c>
      <c r="E24" s="8">
        <v>453</v>
      </c>
      <c r="F24" s="8">
        <v>614</v>
      </c>
      <c r="G24" s="8">
        <v>344</v>
      </c>
      <c r="H24" s="8">
        <v>212</v>
      </c>
      <c r="I24" s="8">
        <v>66</v>
      </c>
      <c r="J24" s="172"/>
    </row>
    <row r="25" spans="1:10" ht="13.5" customHeight="1">
      <c r="A25" s="9" t="s">
        <v>131</v>
      </c>
      <c r="B25" s="8">
        <v>3447</v>
      </c>
      <c r="C25" s="8">
        <v>336</v>
      </c>
      <c r="D25" s="8">
        <v>826</v>
      </c>
      <c r="E25" s="8">
        <v>978</v>
      </c>
      <c r="F25" s="8">
        <v>834</v>
      </c>
      <c r="G25" s="8">
        <v>338</v>
      </c>
      <c r="H25" s="8">
        <v>105</v>
      </c>
      <c r="I25" s="8">
        <v>30</v>
      </c>
      <c r="J25" s="172"/>
    </row>
    <row r="26" spans="1:10" ht="13.5" customHeight="1">
      <c r="A26" s="9" t="s">
        <v>190</v>
      </c>
      <c r="B26" s="8">
        <v>2529</v>
      </c>
      <c r="C26" s="8">
        <v>367</v>
      </c>
      <c r="D26" s="8">
        <v>605</v>
      </c>
      <c r="E26" s="8">
        <v>735</v>
      </c>
      <c r="F26" s="8">
        <v>523</v>
      </c>
      <c r="G26" s="8">
        <v>186</v>
      </c>
      <c r="H26" s="8">
        <v>87</v>
      </c>
      <c r="I26" s="8">
        <v>26</v>
      </c>
      <c r="J26" s="172"/>
    </row>
    <row r="27" spans="1:10" ht="13.5" customHeight="1">
      <c r="A27" s="106" t="s">
        <v>40</v>
      </c>
      <c r="B27" s="36"/>
      <c r="C27" s="36"/>
      <c r="D27" s="36"/>
      <c r="E27" s="36"/>
      <c r="F27" s="36"/>
      <c r="G27" s="36"/>
      <c r="H27" s="36"/>
      <c r="I27" s="36"/>
      <c r="J27" s="172"/>
    </row>
    <row r="28" spans="1:10" ht="13.5" customHeight="1">
      <c r="A28" s="9" t="s">
        <v>23</v>
      </c>
      <c r="B28" s="8">
        <v>157</v>
      </c>
      <c r="C28" s="8">
        <v>66</v>
      </c>
      <c r="D28" s="8">
        <v>16</v>
      </c>
      <c r="E28" s="8">
        <v>24</v>
      </c>
      <c r="F28" s="8">
        <v>16</v>
      </c>
      <c r="G28" s="8">
        <v>10</v>
      </c>
      <c r="H28" s="8">
        <v>15</v>
      </c>
      <c r="I28" s="8">
        <v>10</v>
      </c>
      <c r="J28" s="42"/>
    </row>
    <row r="29" spans="1:10" ht="13.5" customHeight="1">
      <c r="A29" s="9" t="s">
        <v>24</v>
      </c>
      <c r="B29" s="8">
        <v>1977</v>
      </c>
      <c r="C29" s="8">
        <v>261</v>
      </c>
      <c r="D29" s="8">
        <v>103</v>
      </c>
      <c r="E29" s="8">
        <v>258</v>
      </c>
      <c r="F29" s="8">
        <v>270</v>
      </c>
      <c r="G29" s="8">
        <v>308</v>
      </c>
      <c r="H29" s="8">
        <v>444</v>
      </c>
      <c r="I29" s="8">
        <v>333</v>
      </c>
      <c r="J29" s="42"/>
    </row>
    <row r="30" spans="1:10" ht="13.5" customHeight="1">
      <c r="A30" s="9" t="s">
        <v>25</v>
      </c>
      <c r="B30" s="8">
        <v>5111</v>
      </c>
      <c r="C30" s="8">
        <v>380</v>
      </c>
      <c r="D30" s="8">
        <v>714</v>
      </c>
      <c r="E30" s="8">
        <v>891</v>
      </c>
      <c r="F30" s="8">
        <v>916</v>
      </c>
      <c r="G30" s="8">
        <v>686</v>
      </c>
      <c r="H30" s="8">
        <v>801</v>
      </c>
      <c r="I30" s="8">
        <v>723</v>
      </c>
      <c r="J30" s="42"/>
    </row>
    <row r="31" spans="1:10" ht="13.5" customHeight="1">
      <c r="A31" s="9" t="s">
        <v>26</v>
      </c>
      <c r="B31" s="8">
        <v>11541</v>
      </c>
      <c r="C31" s="8">
        <v>1329</v>
      </c>
      <c r="D31" s="8">
        <v>2987</v>
      </c>
      <c r="E31" s="8">
        <v>3643</v>
      </c>
      <c r="F31" s="8">
        <v>1849</v>
      </c>
      <c r="G31" s="8">
        <v>873</v>
      </c>
      <c r="H31" s="8">
        <v>625</v>
      </c>
      <c r="I31" s="8">
        <v>235</v>
      </c>
      <c r="J31" s="42"/>
    </row>
    <row r="32" spans="1:10" ht="13.5" customHeight="1">
      <c r="A32" s="9" t="s">
        <v>27</v>
      </c>
      <c r="B32" s="8">
        <v>20044</v>
      </c>
      <c r="C32" s="8">
        <v>2588</v>
      </c>
      <c r="D32" s="8">
        <v>5409</v>
      </c>
      <c r="E32" s="8">
        <v>6072</v>
      </c>
      <c r="F32" s="8">
        <v>3356</v>
      </c>
      <c r="G32" s="8">
        <v>1460</v>
      </c>
      <c r="H32" s="8">
        <v>879</v>
      </c>
      <c r="I32" s="8">
        <v>280</v>
      </c>
      <c r="J32" s="42"/>
    </row>
    <row r="33" spans="1:15" ht="13.5" customHeight="1">
      <c r="A33" s="9" t="s">
        <v>28</v>
      </c>
      <c r="B33" s="8">
        <v>17270</v>
      </c>
      <c r="C33" s="8">
        <v>2953</v>
      </c>
      <c r="D33" s="8">
        <v>4445</v>
      </c>
      <c r="E33" s="8">
        <v>5003</v>
      </c>
      <c r="F33" s="8">
        <v>2723</v>
      </c>
      <c r="G33" s="8">
        <v>1227</v>
      </c>
      <c r="H33" s="8">
        <v>626</v>
      </c>
      <c r="I33" s="8">
        <v>293</v>
      </c>
      <c r="J33" s="42"/>
    </row>
    <row r="34" spans="1:15" ht="13.5" customHeight="1">
      <c r="A34" s="9" t="s">
        <v>29</v>
      </c>
      <c r="B34" s="8">
        <v>12716</v>
      </c>
      <c r="C34" s="8">
        <v>2165</v>
      </c>
      <c r="D34" s="8">
        <v>2880</v>
      </c>
      <c r="E34" s="8">
        <v>3593</v>
      </c>
      <c r="F34" s="8">
        <v>2240</v>
      </c>
      <c r="G34" s="8">
        <v>1119</v>
      </c>
      <c r="H34" s="8">
        <v>505</v>
      </c>
      <c r="I34" s="8">
        <v>214</v>
      </c>
      <c r="J34" s="42"/>
    </row>
    <row r="35" spans="1:15" ht="13.5" customHeight="1">
      <c r="A35" s="10" t="s">
        <v>30</v>
      </c>
      <c r="B35" s="8">
        <v>13505</v>
      </c>
      <c r="C35" s="8">
        <v>2163</v>
      </c>
      <c r="D35" s="8">
        <v>3135</v>
      </c>
      <c r="E35" s="8">
        <v>4190</v>
      </c>
      <c r="F35" s="8">
        <v>2209</v>
      </c>
      <c r="G35" s="8">
        <v>1089</v>
      </c>
      <c r="H35" s="8">
        <v>522</v>
      </c>
      <c r="I35" s="8">
        <v>197</v>
      </c>
      <c r="J35" s="42"/>
    </row>
    <row r="36" spans="1:15" ht="13.5" customHeight="1">
      <c r="A36" s="106" t="s">
        <v>44</v>
      </c>
      <c r="B36" s="36"/>
      <c r="C36" s="36"/>
      <c r="D36" s="36"/>
      <c r="E36" s="36"/>
      <c r="F36" s="36"/>
      <c r="G36" s="36"/>
      <c r="H36" s="36"/>
      <c r="I36" s="36"/>
      <c r="J36" s="172"/>
    </row>
    <row r="37" spans="1:15" ht="13.5" customHeight="1">
      <c r="A37" s="10" t="s">
        <v>45</v>
      </c>
      <c r="B37" s="8">
        <v>12642</v>
      </c>
      <c r="C37" s="42">
        <v>10707</v>
      </c>
      <c r="D37" s="42">
        <v>1714</v>
      </c>
      <c r="E37" s="42">
        <v>131</v>
      </c>
      <c r="F37" s="42">
        <v>46</v>
      </c>
      <c r="G37" s="42">
        <v>17</v>
      </c>
      <c r="H37" s="42">
        <v>18</v>
      </c>
      <c r="I37" s="42">
        <v>9</v>
      </c>
    </row>
    <row r="38" spans="1:15" ht="13.5" customHeight="1">
      <c r="A38" s="10" t="s">
        <v>46</v>
      </c>
      <c r="B38" s="8">
        <v>22376</v>
      </c>
      <c r="C38" s="42">
        <v>1184</v>
      </c>
      <c r="D38" s="42">
        <v>15896</v>
      </c>
      <c r="E38" s="42">
        <v>4905</v>
      </c>
      <c r="F38" s="42">
        <v>313</v>
      </c>
      <c r="G38" s="42">
        <v>57</v>
      </c>
      <c r="H38" s="42">
        <v>17</v>
      </c>
      <c r="I38" s="42">
        <v>4</v>
      </c>
    </row>
    <row r="39" spans="1:15" ht="13.5" customHeight="1">
      <c r="A39" s="10" t="s">
        <v>47</v>
      </c>
      <c r="B39" s="8">
        <v>26416</v>
      </c>
      <c r="C39" s="42">
        <v>13</v>
      </c>
      <c r="D39" s="42">
        <v>2049</v>
      </c>
      <c r="E39" s="42">
        <v>17094</v>
      </c>
      <c r="F39" s="42">
        <v>6364</v>
      </c>
      <c r="G39" s="42">
        <v>676</v>
      </c>
      <c r="H39" s="42">
        <v>194</v>
      </c>
      <c r="I39" s="42">
        <v>26</v>
      </c>
    </row>
    <row r="40" spans="1:15" ht="13.5" customHeight="1">
      <c r="A40" s="10" t="s">
        <v>48</v>
      </c>
      <c r="B40" s="8">
        <v>13489</v>
      </c>
      <c r="C40" s="42">
        <v>1</v>
      </c>
      <c r="D40" s="42">
        <v>28</v>
      </c>
      <c r="E40" s="42">
        <v>1494</v>
      </c>
      <c r="F40" s="42">
        <v>6421</v>
      </c>
      <c r="G40" s="42">
        <v>4225</v>
      </c>
      <c r="H40" s="42">
        <v>1157</v>
      </c>
      <c r="I40" s="42">
        <v>163</v>
      </c>
    </row>
    <row r="41" spans="1:15" ht="13.5" customHeight="1">
      <c r="A41" s="10" t="s">
        <v>49</v>
      </c>
      <c r="B41" s="8">
        <v>4818</v>
      </c>
      <c r="C41" s="42">
        <v>0</v>
      </c>
      <c r="D41" s="42">
        <v>2</v>
      </c>
      <c r="E41" s="42">
        <v>48</v>
      </c>
      <c r="F41" s="42">
        <v>415</v>
      </c>
      <c r="G41" s="42">
        <v>1668</v>
      </c>
      <c r="H41" s="42">
        <v>2117</v>
      </c>
      <c r="I41" s="42">
        <v>568</v>
      </c>
    </row>
    <row r="42" spans="1:15" ht="13.5" customHeight="1">
      <c r="A42" s="10" t="s">
        <v>98</v>
      </c>
      <c r="B42" s="8">
        <v>2580</v>
      </c>
      <c r="C42" s="8">
        <v>0</v>
      </c>
      <c r="D42" s="8">
        <v>0</v>
      </c>
      <c r="E42" s="8">
        <v>2</v>
      </c>
      <c r="F42" s="8">
        <v>20</v>
      </c>
      <c r="G42" s="8">
        <v>129</v>
      </c>
      <c r="H42" s="8">
        <v>914</v>
      </c>
      <c r="I42" s="8">
        <v>1515</v>
      </c>
    </row>
    <row r="43" spans="1:15" ht="13.5" customHeight="1">
      <c r="A43" s="161"/>
      <c r="C43" s="161"/>
      <c r="D43" s="161"/>
      <c r="E43" s="161"/>
      <c r="F43" s="161"/>
      <c r="G43" s="161"/>
      <c r="H43" s="161"/>
      <c r="J43"/>
      <c r="M43"/>
      <c r="N43"/>
      <c r="O43"/>
    </row>
    <row r="44" spans="1:15" ht="13.5" customHeight="1">
      <c r="A44" s="9" t="s">
        <v>84</v>
      </c>
      <c r="B44" s="161"/>
      <c r="C44" s="161"/>
      <c r="D44" s="161"/>
      <c r="E44" s="161"/>
      <c r="F44" s="161"/>
      <c r="G44" s="8"/>
      <c r="H44" s="8"/>
      <c r="J44"/>
      <c r="K44"/>
      <c r="L44"/>
      <c r="M44"/>
      <c r="N44"/>
      <c r="O44"/>
    </row>
    <row r="45" spans="1:15" ht="13.5" customHeight="1">
      <c r="A45" s="10"/>
      <c r="B45" s="8"/>
      <c r="C45" s="42"/>
      <c r="D45" s="42"/>
      <c r="E45" s="42"/>
      <c r="F45" s="42"/>
      <c r="G45" s="42"/>
      <c r="H45" s="42"/>
      <c r="I45" s="42"/>
      <c r="K45"/>
      <c r="L45"/>
    </row>
    <row r="46" spans="1:15" ht="13.5" customHeight="1">
      <c r="A46" s="46" t="s">
        <v>113</v>
      </c>
      <c r="B46" s="8"/>
      <c r="C46" s="42"/>
      <c r="D46" s="42"/>
      <c r="E46" s="42"/>
      <c r="F46" s="42"/>
      <c r="G46" s="42"/>
      <c r="H46" s="42"/>
      <c r="I46" s="42"/>
    </row>
    <row r="47" spans="1:15" ht="13.5" customHeight="1">
      <c r="A47" s="46"/>
      <c r="B47" s="8"/>
      <c r="C47" s="42"/>
      <c r="D47" s="42"/>
      <c r="E47" s="42"/>
      <c r="F47" s="42"/>
      <c r="G47" s="42"/>
      <c r="H47" s="42"/>
      <c r="I47" s="42"/>
    </row>
    <row r="48" spans="1:15" ht="13.5" customHeight="1">
      <c r="A48" s="46"/>
      <c r="B48" s="8"/>
      <c r="C48" s="42"/>
      <c r="D48" s="42"/>
      <c r="E48" s="42"/>
      <c r="F48" s="42"/>
      <c r="G48" s="42"/>
      <c r="H48" s="42"/>
      <c r="I48" s="42"/>
    </row>
    <row r="49" spans="1:11" ht="13.5" customHeight="1">
      <c r="A49" s="86" t="s">
        <v>187</v>
      </c>
      <c r="B49" s="87"/>
      <c r="C49" s="87"/>
      <c r="D49" s="87"/>
      <c r="E49" s="87"/>
      <c r="F49" s="159"/>
      <c r="G49" s="87"/>
      <c r="H49" s="53"/>
      <c r="I49" s="89"/>
    </row>
    <row r="50" spans="1:11" ht="13.5" customHeight="1">
      <c r="A50" s="58" t="s">
        <v>1</v>
      </c>
      <c r="B50" s="58"/>
      <c r="C50" s="58"/>
      <c r="D50" s="58"/>
      <c r="E50" s="58"/>
      <c r="F50" s="58"/>
      <c r="G50" s="58"/>
      <c r="H50" s="160"/>
      <c r="I50" s="62"/>
    </row>
    <row r="51" spans="1:11" ht="13.5" customHeight="1">
      <c r="A51" s="58"/>
      <c r="B51" s="58"/>
      <c r="C51" s="42"/>
      <c r="D51" s="42"/>
      <c r="E51" s="42"/>
      <c r="F51" s="42"/>
      <c r="G51" s="42"/>
      <c r="H51" s="42"/>
      <c r="I51" s="42"/>
    </row>
    <row r="52" spans="1:11" ht="13.5" customHeight="1">
      <c r="A52" s="114"/>
      <c r="B52" s="114"/>
      <c r="C52" s="116"/>
      <c r="D52" s="116"/>
      <c r="E52" s="116"/>
      <c r="F52" s="116"/>
      <c r="G52" s="116"/>
      <c r="H52" s="116"/>
      <c r="I52" s="117" t="s">
        <v>73</v>
      </c>
      <c r="K52" s="170" t="s">
        <v>126</v>
      </c>
    </row>
    <row r="53" spans="1:11" ht="13.5" customHeight="1">
      <c r="A53" s="153"/>
      <c r="B53" s="152" t="s">
        <v>2</v>
      </c>
      <c r="C53" s="152" t="s">
        <v>99</v>
      </c>
      <c r="D53" s="154" t="s">
        <v>67</v>
      </c>
      <c r="E53" s="154" t="s">
        <v>68</v>
      </c>
      <c r="F53" s="154" t="s">
        <v>69</v>
      </c>
      <c r="G53" s="154" t="s">
        <v>70</v>
      </c>
      <c r="H53" s="154" t="s">
        <v>71</v>
      </c>
      <c r="I53" s="154" t="s">
        <v>72</v>
      </c>
    </row>
    <row r="54" spans="1:11" ht="13.5" customHeight="1">
      <c r="A54" s="37" t="s">
        <v>2</v>
      </c>
      <c r="B54" s="36">
        <v>81645</v>
      </c>
      <c r="C54" s="36">
        <v>11791</v>
      </c>
      <c r="D54" s="105">
        <v>19488</v>
      </c>
      <c r="E54" s="105">
        <v>23481</v>
      </c>
      <c r="F54" s="105">
        <v>13482</v>
      </c>
      <c r="G54" s="105">
        <v>6724</v>
      </c>
      <c r="H54" s="105">
        <v>4403</v>
      </c>
      <c r="I54" s="105">
        <v>2276</v>
      </c>
    </row>
    <row r="55" spans="1:11" ht="13.5" customHeight="1">
      <c r="A55" s="37" t="s">
        <v>5</v>
      </c>
      <c r="B55" s="36"/>
      <c r="C55" s="36"/>
      <c r="D55" s="36"/>
      <c r="E55" s="36"/>
      <c r="F55" s="36"/>
      <c r="G55" s="36"/>
      <c r="H55" s="36"/>
      <c r="I55" s="36"/>
    </row>
    <row r="56" spans="1:11" ht="13.5" customHeight="1">
      <c r="A56" s="9" t="s">
        <v>6</v>
      </c>
      <c r="B56" s="8">
        <f>SUM(C56:I56)</f>
        <v>2191</v>
      </c>
      <c r="C56" s="8">
        <v>16</v>
      </c>
      <c r="D56" s="8">
        <v>31</v>
      </c>
      <c r="E56" s="8">
        <v>144</v>
      </c>
      <c r="F56" s="8">
        <v>202</v>
      </c>
      <c r="G56" s="8">
        <v>273</v>
      </c>
      <c r="H56" s="8">
        <v>725</v>
      </c>
      <c r="I56" s="8">
        <v>800</v>
      </c>
      <c r="J56" s="172"/>
    </row>
    <row r="57" spans="1:11" ht="13.5" customHeight="1">
      <c r="A57" s="9" t="s">
        <v>7</v>
      </c>
      <c r="B57" s="8">
        <f t="shared" ref="B57:B90" si="0">SUM(C57:I57)</f>
        <v>48489</v>
      </c>
      <c r="C57" s="8">
        <v>6022</v>
      </c>
      <c r="D57" s="8">
        <v>12200</v>
      </c>
      <c r="E57" s="8">
        <v>14713</v>
      </c>
      <c r="F57" s="8">
        <v>8238</v>
      </c>
      <c r="G57" s="8">
        <v>4182</v>
      </c>
      <c r="H57" s="8">
        <v>2208</v>
      </c>
      <c r="I57" s="8">
        <v>926</v>
      </c>
      <c r="J57" s="172"/>
    </row>
    <row r="58" spans="1:11" ht="13.5" customHeight="1">
      <c r="A58" s="10" t="s">
        <v>8</v>
      </c>
      <c r="B58" s="8">
        <f t="shared" si="0"/>
        <v>30242</v>
      </c>
      <c r="C58" s="8">
        <v>5483</v>
      </c>
      <c r="D58" s="8">
        <v>7198</v>
      </c>
      <c r="E58" s="8">
        <v>8534</v>
      </c>
      <c r="F58" s="8">
        <v>4932</v>
      </c>
      <c r="G58" s="8">
        <v>2182</v>
      </c>
      <c r="H58" s="8">
        <v>1398</v>
      </c>
      <c r="I58" s="8">
        <v>515</v>
      </c>
      <c r="J58" s="172"/>
    </row>
    <row r="59" spans="1:11" ht="13.5" customHeight="1">
      <c r="A59" s="10" t="s">
        <v>65</v>
      </c>
      <c r="B59" s="8">
        <f t="shared" si="0"/>
        <v>723</v>
      </c>
      <c r="C59" s="8">
        <v>270</v>
      </c>
      <c r="D59" s="8">
        <v>59</v>
      </c>
      <c r="E59" s="8">
        <v>90</v>
      </c>
      <c r="F59" s="8">
        <v>110</v>
      </c>
      <c r="G59" s="8">
        <v>87</v>
      </c>
      <c r="H59" s="8">
        <v>72</v>
      </c>
      <c r="I59" s="8">
        <v>35</v>
      </c>
      <c r="J59" s="172"/>
    </row>
    <row r="60" spans="1:11" ht="13.5" customHeight="1">
      <c r="A60" s="106" t="s">
        <v>39</v>
      </c>
      <c r="B60" s="36"/>
      <c r="C60" s="36"/>
      <c r="D60" s="36"/>
      <c r="E60" s="36"/>
      <c r="F60" s="36"/>
      <c r="G60" s="36"/>
      <c r="H60" s="36"/>
      <c r="I60" s="36"/>
      <c r="J60" s="172"/>
    </row>
    <row r="61" spans="1:11" ht="13.5" customHeight="1">
      <c r="A61" s="9" t="s">
        <v>10</v>
      </c>
      <c r="B61" s="8">
        <f t="shared" si="0"/>
        <v>12753</v>
      </c>
      <c r="C61" s="8">
        <v>1574</v>
      </c>
      <c r="D61" s="8">
        <v>2464</v>
      </c>
      <c r="E61" s="8">
        <v>3347</v>
      </c>
      <c r="F61" s="8">
        <v>2091</v>
      </c>
      <c r="G61" s="8">
        <v>1280</v>
      </c>
      <c r="H61" s="8">
        <v>1226</v>
      </c>
      <c r="I61" s="8">
        <v>771</v>
      </c>
      <c r="J61" s="172"/>
    </row>
    <row r="62" spans="1:11" ht="13.5" customHeight="1">
      <c r="A62" s="9" t="s">
        <v>11</v>
      </c>
      <c r="B62" s="8">
        <f t="shared" si="0"/>
        <v>14771</v>
      </c>
      <c r="C62" s="8">
        <v>1547</v>
      </c>
      <c r="D62" s="8">
        <v>3905</v>
      </c>
      <c r="E62" s="8">
        <v>4803</v>
      </c>
      <c r="F62" s="8">
        <v>2403</v>
      </c>
      <c r="G62" s="8">
        <v>937</v>
      </c>
      <c r="H62" s="8">
        <v>802</v>
      </c>
      <c r="I62" s="8">
        <v>374</v>
      </c>
      <c r="J62" s="172"/>
    </row>
    <row r="63" spans="1:11" ht="13.5" customHeight="1">
      <c r="A63" s="9" t="s">
        <v>12</v>
      </c>
      <c r="B63" s="8">
        <f t="shared" si="0"/>
        <v>17827</v>
      </c>
      <c r="C63" s="8">
        <v>2759</v>
      </c>
      <c r="D63" s="8">
        <v>6284</v>
      </c>
      <c r="E63" s="8">
        <v>5921</v>
      </c>
      <c r="F63" s="8">
        <v>1726</v>
      </c>
      <c r="G63" s="8">
        <v>598</v>
      </c>
      <c r="H63" s="8">
        <v>337</v>
      </c>
      <c r="I63" s="8">
        <v>202</v>
      </c>
      <c r="J63" s="172"/>
    </row>
    <row r="64" spans="1:11" ht="13.5" customHeight="1">
      <c r="A64" s="9" t="s">
        <v>13</v>
      </c>
      <c r="B64" s="8">
        <f t="shared" si="0"/>
        <v>13952</v>
      </c>
      <c r="C64" s="8">
        <v>3423</v>
      </c>
      <c r="D64" s="8">
        <v>3185</v>
      </c>
      <c r="E64" s="8">
        <v>4321</v>
      </c>
      <c r="F64" s="8">
        <v>1777</v>
      </c>
      <c r="G64" s="8">
        <v>621</v>
      </c>
      <c r="H64" s="8">
        <v>420</v>
      </c>
      <c r="I64" s="8">
        <v>205</v>
      </c>
      <c r="J64" s="172"/>
    </row>
    <row r="65" spans="1:10" ht="13.5" customHeight="1">
      <c r="A65" s="9" t="s">
        <v>14</v>
      </c>
      <c r="B65" s="8">
        <f t="shared" si="0"/>
        <v>5857</v>
      </c>
      <c r="C65" s="8">
        <v>1147</v>
      </c>
      <c r="D65" s="8">
        <v>915</v>
      </c>
      <c r="E65" s="8">
        <v>1418</v>
      </c>
      <c r="F65" s="8">
        <v>1325</v>
      </c>
      <c r="G65" s="8">
        <v>570</v>
      </c>
      <c r="H65" s="8">
        <v>308</v>
      </c>
      <c r="I65" s="8">
        <v>174</v>
      </c>
      <c r="J65" s="172"/>
    </row>
    <row r="66" spans="1:10" ht="13.5" customHeight="1">
      <c r="A66" s="9" t="s">
        <v>15</v>
      </c>
      <c r="B66" s="8">
        <f t="shared" si="0"/>
        <v>1834</v>
      </c>
      <c r="C66" s="8">
        <v>47</v>
      </c>
      <c r="D66" s="8">
        <v>249</v>
      </c>
      <c r="E66" s="8">
        <v>426</v>
      </c>
      <c r="F66" s="8">
        <v>496</v>
      </c>
      <c r="G66" s="8">
        <v>402</v>
      </c>
      <c r="H66" s="8">
        <v>143</v>
      </c>
      <c r="I66" s="8">
        <v>71</v>
      </c>
      <c r="J66" s="172"/>
    </row>
    <row r="67" spans="1:10" ht="13.5" customHeight="1">
      <c r="A67" s="9" t="s">
        <v>16</v>
      </c>
      <c r="B67" s="8">
        <f t="shared" si="0"/>
        <v>1767</v>
      </c>
      <c r="C67" s="8">
        <v>107</v>
      </c>
      <c r="D67" s="8">
        <v>260</v>
      </c>
      <c r="E67" s="8">
        <v>287</v>
      </c>
      <c r="F67" s="8">
        <v>435</v>
      </c>
      <c r="G67" s="8">
        <v>397</v>
      </c>
      <c r="H67" s="8">
        <v>193</v>
      </c>
      <c r="I67" s="8">
        <v>88</v>
      </c>
      <c r="J67" s="172"/>
    </row>
    <row r="68" spans="1:10" ht="13.5" customHeight="1">
      <c r="A68" s="9" t="s">
        <v>17</v>
      </c>
      <c r="B68" s="8">
        <f t="shared" si="0"/>
        <v>1011</v>
      </c>
      <c r="C68" s="8">
        <v>170</v>
      </c>
      <c r="D68" s="8">
        <v>189</v>
      </c>
      <c r="E68" s="8">
        <v>188</v>
      </c>
      <c r="F68" s="8">
        <v>219</v>
      </c>
      <c r="G68" s="8">
        <v>98</v>
      </c>
      <c r="H68" s="8">
        <v>82</v>
      </c>
      <c r="I68" s="8">
        <v>65</v>
      </c>
      <c r="J68" s="172"/>
    </row>
    <row r="69" spans="1:10" ht="13.5" customHeight="1">
      <c r="A69" s="9" t="s">
        <v>18</v>
      </c>
      <c r="B69" s="8">
        <f t="shared" si="0"/>
        <v>995</v>
      </c>
      <c r="C69" s="8">
        <v>22</v>
      </c>
      <c r="D69" s="8">
        <v>105</v>
      </c>
      <c r="E69" s="8">
        <v>246</v>
      </c>
      <c r="F69" s="8">
        <v>242</v>
      </c>
      <c r="G69" s="8">
        <v>210</v>
      </c>
      <c r="H69" s="8">
        <v>113</v>
      </c>
      <c r="I69" s="8">
        <v>57</v>
      </c>
      <c r="J69" s="172"/>
    </row>
    <row r="70" spans="1:10" ht="13.5" customHeight="1">
      <c r="A70" s="9" t="s">
        <v>19</v>
      </c>
      <c r="B70" s="8">
        <f t="shared" si="0"/>
        <v>1001</v>
      </c>
      <c r="C70" s="8">
        <v>26</v>
      </c>
      <c r="D70" s="8">
        <v>76</v>
      </c>
      <c r="E70" s="8">
        <v>125</v>
      </c>
      <c r="F70" s="8">
        <v>281</v>
      </c>
      <c r="G70" s="8">
        <v>308</v>
      </c>
      <c r="H70" s="8">
        <v>119</v>
      </c>
      <c r="I70" s="8">
        <v>66</v>
      </c>
      <c r="J70" s="172"/>
    </row>
    <row r="71" spans="1:10" ht="13.5" customHeight="1">
      <c r="A71" s="9" t="s">
        <v>20</v>
      </c>
      <c r="B71" s="8">
        <f t="shared" si="0"/>
        <v>2222</v>
      </c>
      <c r="C71" s="8">
        <v>99</v>
      </c>
      <c r="D71" s="8">
        <v>248</v>
      </c>
      <c r="E71" s="8">
        <v>421</v>
      </c>
      <c r="F71" s="8">
        <v>611</v>
      </c>
      <c r="G71" s="8">
        <v>481</v>
      </c>
      <c r="H71" s="8">
        <v>278</v>
      </c>
      <c r="I71" s="8">
        <v>84</v>
      </c>
      <c r="J71" s="172"/>
    </row>
    <row r="72" spans="1:10" ht="13.5" customHeight="1">
      <c r="A72" s="9" t="s">
        <v>21</v>
      </c>
      <c r="B72" s="8">
        <f t="shared" si="0"/>
        <v>2297</v>
      </c>
      <c r="C72" s="8">
        <v>251</v>
      </c>
      <c r="D72" s="8">
        <v>358</v>
      </c>
      <c r="E72" s="8">
        <v>453</v>
      </c>
      <c r="F72" s="8">
        <v>615</v>
      </c>
      <c r="G72" s="8">
        <v>344</v>
      </c>
      <c r="H72" s="8">
        <v>212</v>
      </c>
      <c r="I72" s="8">
        <v>64</v>
      </c>
      <c r="J72" s="172"/>
    </row>
    <row r="73" spans="1:10" ht="13.5" customHeight="1">
      <c r="A73" s="9" t="s">
        <v>131</v>
      </c>
      <c r="B73" s="8">
        <f t="shared" si="0"/>
        <v>3447</v>
      </c>
      <c r="C73" s="8">
        <v>336</v>
      </c>
      <c r="D73" s="8">
        <v>826</v>
      </c>
      <c r="E73" s="8">
        <v>978</v>
      </c>
      <c r="F73" s="8">
        <v>834</v>
      </c>
      <c r="G73" s="8">
        <v>338</v>
      </c>
      <c r="H73" s="8">
        <v>105</v>
      </c>
      <c r="I73" s="8">
        <v>30</v>
      </c>
      <c r="J73" s="172"/>
    </row>
    <row r="74" spans="1:10" ht="13.5" customHeight="1">
      <c r="A74" s="9" t="s">
        <v>190</v>
      </c>
      <c r="B74" s="8">
        <f t="shared" si="0"/>
        <v>1911</v>
      </c>
      <c r="C74" s="8">
        <v>283</v>
      </c>
      <c r="D74" s="8">
        <v>424</v>
      </c>
      <c r="E74" s="8">
        <v>547</v>
      </c>
      <c r="F74" s="8">
        <v>427</v>
      </c>
      <c r="G74" s="8">
        <v>140</v>
      </c>
      <c r="H74" s="8">
        <v>65</v>
      </c>
      <c r="I74" s="8">
        <v>25</v>
      </c>
      <c r="J74" s="172"/>
    </row>
    <row r="75" spans="1:10" ht="13.5" customHeight="1">
      <c r="A75" s="106" t="s">
        <v>40</v>
      </c>
      <c r="B75" s="36"/>
      <c r="C75" s="36"/>
      <c r="D75" s="36"/>
      <c r="E75" s="36"/>
      <c r="F75" s="36"/>
      <c r="G75" s="36"/>
      <c r="H75" s="36"/>
      <c r="I75" s="36"/>
      <c r="J75" s="172"/>
    </row>
    <row r="76" spans="1:10" ht="13.5" customHeight="1">
      <c r="A76" s="9" t="s">
        <v>23</v>
      </c>
      <c r="B76" s="8">
        <f t="shared" si="0"/>
        <v>157</v>
      </c>
      <c r="C76" s="8">
        <v>66</v>
      </c>
      <c r="D76" s="8">
        <v>16</v>
      </c>
      <c r="E76" s="8">
        <v>24</v>
      </c>
      <c r="F76" s="8">
        <v>16</v>
      </c>
      <c r="G76" s="8">
        <v>10</v>
      </c>
      <c r="H76" s="8">
        <v>15</v>
      </c>
      <c r="I76" s="8">
        <v>10</v>
      </c>
      <c r="J76" s="42"/>
    </row>
    <row r="77" spans="1:10" ht="13.5" customHeight="1">
      <c r="A77" s="9" t="s">
        <v>24</v>
      </c>
      <c r="B77" s="8">
        <f t="shared" si="0"/>
        <v>1962</v>
      </c>
      <c r="C77" s="8">
        <v>260</v>
      </c>
      <c r="D77" s="8">
        <v>105</v>
      </c>
      <c r="E77" s="8">
        <v>249</v>
      </c>
      <c r="F77" s="8">
        <v>268</v>
      </c>
      <c r="G77" s="8">
        <v>305</v>
      </c>
      <c r="H77" s="8">
        <v>443</v>
      </c>
      <c r="I77" s="8">
        <v>332</v>
      </c>
      <c r="J77" s="42"/>
    </row>
    <row r="78" spans="1:10" ht="13.5" customHeight="1">
      <c r="A78" s="9" t="s">
        <v>25</v>
      </c>
      <c r="B78" s="8">
        <f t="shared" si="0"/>
        <v>5096</v>
      </c>
      <c r="C78" s="8">
        <v>381</v>
      </c>
      <c r="D78" s="8">
        <v>709</v>
      </c>
      <c r="E78" s="8">
        <v>892</v>
      </c>
      <c r="F78" s="8">
        <v>916</v>
      </c>
      <c r="G78" s="8">
        <v>681</v>
      </c>
      <c r="H78" s="8">
        <v>796</v>
      </c>
      <c r="I78" s="8">
        <v>721</v>
      </c>
      <c r="J78" s="42"/>
    </row>
    <row r="79" spans="1:10" ht="13.5" customHeight="1">
      <c r="A79" s="9" t="s">
        <v>26</v>
      </c>
      <c r="B79" s="8">
        <f t="shared" si="0"/>
        <v>11549</v>
      </c>
      <c r="C79" s="8">
        <v>1316</v>
      </c>
      <c r="D79" s="8">
        <v>2992</v>
      </c>
      <c r="E79" s="8">
        <v>3657</v>
      </c>
      <c r="F79" s="8">
        <v>1861</v>
      </c>
      <c r="G79" s="8">
        <v>869</v>
      </c>
      <c r="H79" s="8">
        <v>625</v>
      </c>
      <c r="I79" s="8">
        <v>229</v>
      </c>
      <c r="J79" s="42"/>
    </row>
    <row r="80" spans="1:10" ht="13.5" customHeight="1">
      <c r="A80" s="9" t="s">
        <v>27</v>
      </c>
      <c r="B80" s="8">
        <f t="shared" si="0"/>
        <v>19972</v>
      </c>
      <c r="C80" s="8">
        <v>2560</v>
      </c>
      <c r="D80" s="8">
        <v>5380</v>
      </c>
      <c r="E80" s="8">
        <v>6062</v>
      </c>
      <c r="F80" s="8">
        <v>3347</v>
      </c>
      <c r="G80" s="8">
        <v>1464</v>
      </c>
      <c r="H80" s="8">
        <v>877</v>
      </c>
      <c r="I80" s="8">
        <v>282</v>
      </c>
      <c r="J80" s="42"/>
    </row>
    <row r="81" spans="1:15" ht="13.5" customHeight="1">
      <c r="A81" s="9" t="s">
        <v>28</v>
      </c>
      <c r="B81" s="8">
        <f t="shared" si="0"/>
        <v>16921</v>
      </c>
      <c r="C81" s="8">
        <v>2890</v>
      </c>
      <c r="D81" s="8">
        <v>4331</v>
      </c>
      <c r="E81" s="8">
        <v>4893</v>
      </c>
      <c r="F81" s="8">
        <v>2674</v>
      </c>
      <c r="G81" s="8">
        <v>1209</v>
      </c>
      <c r="H81" s="8">
        <v>627</v>
      </c>
      <c r="I81" s="8">
        <v>297</v>
      </c>
      <c r="J81" s="42"/>
    </row>
    <row r="82" spans="1:15" ht="13.5" customHeight="1">
      <c r="A82" s="9" t="s">
        <v>29</v>
      </c>
      <c r="B82" s="8">
        <f t="shared" si="0"/>
        <v>12544</v>
      </c>
      <c r="C82" s="8">
        <v>2141</v>
      </c>
      <c r="D82" s="8">
        <v>2842</v>
      </c>
      <c r="E82" s="8">
        <v>3527</v>
      </c>
      <c r="F82" s="8">
        <v>2212</v>
      </c>
      <c r="G82" s="8">
        <v>1113</v>
      </c>
      <c r="H82" s="8">
        <v>498</v>
      </c>
      <c r="I82" s="8">
        <v>211</v>
      </c>
      <c r="J82" s="42"/>
    </row>
    <row r="83" spans="1:15" ht="13.5" customHeight="1">
      <c r="A83" s="10" t="s">
        <v>30</v>
      </c>
      <c r="B83" s="8">
        <f t="shared" si="0"/>
        <v>13444</v>
      </c>
      <c r="C83" s="8">
        <v>2177</v>
      </c>
      <c r="D83" s="8">
        <v>3113</v>
      </c>
      <c r="E83" s="8">
        <v>4177</v>
      </c>
      <c r="F83" s="8">
        <v>2188</v>
      </c>
      <c r="G83" s="8">
        <v>1073</v>
      </c>
      <c r="H83" s="8">
        <v>522</v>
      </c>
      <c r="I83" s="8">
        <v>194</v>
      </c>
      <c r="J83" s="42"/>
    </row>
    <row r="84" spans="1:15" ht="13.5" customHeight="1">
      <c r="A84" s="106" t="s">
        <v>44</v>
      </c>
      <c r="B84" s="36"/>
      <c r="C84" s="36"/>
      <c r="D84" s="36"/>
      <c r="E84" s="36"/>
      <c r="F84" s="36"/>
      <c r="G84" s="36"/>
      <c r="H84" s="36"/>
      <c r="I84" s="36"/>
      <c r="J84" s="172"/>
    </row>
    <row r="85" spans="1:15" ht="13.5" customHeight="1">
      <c r="A85" s="10" t="s">
        <v>45</v>
      </c>
      <c r="B85" s="8">
        <f t="shared" si="0"/>
        <v>12473</v>
      </c>
      <c r="C85" s="42">
        <v>10594</v>
      </c>
      <c r="D85" s="42">
        <v>1663</v>
      </c>
      <c r="E85" s="42">
        <v>130</v>
      </c>
      <c r="F85" s="42">
        <v>45</v>
      </c>
      <c r="G85" s="42">
        <v>20</v>
      </c>
      <c r="H85" s="42">
        <v>18</v>
      </c>
      <c r="I85" s="42">
        <v>3</v>
      </c>
    </row>
    <row r="86" spans="1:15" ht="13.5" customHeight="1">
      <c r="A86" s="10" t="s">
        <v>46</v>
      </c>
      <c r="B86" s="8">
        <f t="shared" si="0"/>
        <v>22140</v>
      </c>
      <c r="C86" s="42">
        <v>1180</v>
      </c>
      <c r="D86" s="42">
        <v>15727</v>
      </c>
      <c r="E86" s="42">
        <v>4843</v>
      </c>
      <c r="F86" s="42">
        <v>312</v>
      </c>
      <c r="G86" s="42">
        <v>56</v>
      </c>
      <c r="H86" s="42">
        <v>17</v>
      </c>
      <c r="I86" s="42">
        <v>5</v>
      </c>
    </row>
    <row r="87" spans="1:15" ht="13.5" customHeight="1">
      <c r="A87" s="10" t="s">
        <v>47</v>
      </c>
      <c r="B87" s="8">
        <f t="shared" si="0"/>
        <v>26233</v>
      </c>
      <c r="C87" s="42">
        <v>16</v>
      </c>
      <c r="D87" s="42">
        <v>2069</v>
      </c>
      <c r="E87" s="42">
        <v>16945</v>
      </c>
      <c r="F87" s="42">
        <v>6311</v>
      </c>
      <c r="G87" s="42">
        <v>676</v>
      </c>
      <c r="H87" s="42">
        <v>197</v>
      </c>
      <c r="I87" s="42">
        <v>19</v>
      </c>
    </row>
    <row r="88" spans="1:15" ht="13.5" customHeight="1">
      <c r="A88" s="10" t="s">
        <v>48</v>
      </c>
      <c r="B88" s="8">
        <f t="shared" si="0"/>
        <v>13419</v>
      </c>
      <c r="C88" s="42">
        <v>0</v>
      </c>
      <c r="D88" s="42">
        <v>28</v>
      </c>
      <c r="E88" s="42">
        <v>1511</v>
      </c>
      <c r="F88" s="42">
        <v>6378</v>
      </c>
      <c r="G88" s="42">
        <v>4190</v>
      </c>
      <c r="H88" s="42">
        <v>1150</v>
      </c>
      <c r="I88" s="42">
        <v>162</v>
      </c>
    </row>
    <row r="89" spans="1:15" ht="13.5" customHeight="1">
      <c r="A89" s="10" t="s">
        <v>49</v>
      </c>
      <c r="B89" s="8">
        <f t="shared" si="0"/>
        <v>4793</v>
      </c>
      <c r="C89" s="42">
        <v>1</v>
      </c>
      <c r="D89" s="42">
        <v>1</v>
      </c>
      <c r="E89" s="42">
        <v>49</v>
      </c>
      <c r="F89" s="42">
        <v>416</v>
      </c>
      <c r="G89" s="42">
        <v>1650</v>
      </c>
      <c r="H89" s="42">
        <v>2106</v>
      </c>
      <c r="I89" s="42">
        <v>570</v>
      </c>
    </row>
    <row r="90" spans="1:15" ht="13.5" customHeight="1">
      <c r="A90" s="10" t="s">
        <v>98</v>
      </c>
      <c r="B90" s="8">
        <f t="shared" si="0"/>
        <v>2587</v>
      </c>
      <c r="C90" s="8">
        <v>0</v>
      </c>
      <c r="D90" s="8">
        <v>0</v>
      </c>
      <c r="E90" s="8">
        <v>3</v>
      </c>
      <c r="F90" s="8">
        <v>20</v>
      </c>
      <c r="G90" s="8">
        <v>132</v>
      </c>
      <c r="H90" s="8">
        <v>915</v>
      </c>
      <c r="I90" s="8">
        <v>1517</v>
      </c>
      <c r="M90"/>
      <c r="N90"/>
      <c r="O90"/>
    </row>
    <row r="91" spans="1:15" ht="13.5" customHeight="1">
      <c r="A91" s="161"/>
      <c r="C91" s="161"/>
      <c r="D91" s="161"/>
      <c r="E91" s="161"/>
      <c r="F91" s="161"/>
      <c r="G91" s="161"/>
      <c r="H91" s="161"/>
      <c r="J91"/>
      <c r="M91"/>
      <c r="N91"/>
      <c r="O91"/>
    </row>
    <row r="92" spans="1:15" ht="13.5" customHeight="1">
      <c r="A92" s="9" t="s">
        <v>84</v>
      </c>
      <c r="B92" s="161"/>
      <c r="C92" s="161"/>
      <c r="D92" s="161"/>
      <c r="E92" s="161"/>
      <c r="F92" s="161"/>
      <c r="G92" s="8"/>
      <c r="H92" s="8"/>
      <c r="J92"/>
      <c r="K92"/>
      <c r="L92"/>
    </row>
    <row r="93" spans="1:15" ht="13.5" customHeight="1">
      <c r="A93" s="10"/>
      <c r="B93" s="8"/>
      <c r="C93" s="42"/>
      <c r="D93" s="42"/>
      <c r="E93" s="42"/>
      <c r="F93" s="42"/>
      <c r="G93" s="42"/>
      <c r="H93" s="42"/>
      <c r="I93" s="42"/>
      <c r="K93"/>
      <c r="L93"/>
    </row>
    <row r="94" spans="1:15" ht="13.5" customHeight="1">
      <c r="A94" s="46" t="s">
        <v>113</v>
      </c>
      <c r="B94" s="8"/>
      <c r="C94" s="42"/>
      <c r="D94" s="42"/>
      <c r="E94" s="42"/>
      <c r="F94" s="42"/>
      <c r="G94" s="42"/>
      <c r="H94" s="42"/>
      <c r="I94" s="42"/>
    </row>
    <row r="95" spans="1:15" ht="13.5" customHeight="1">
      <c r="A95" s="46"/>
      <c r="B95" s="8"/>
      <c r="C95" s="42"/>
      <c r="D95" s="42"/>
      <c r="E95" s="42"/>
      <c r="F95" s="42"/>
      <c r="G95" s="42"/>
      <c r="H95" s="42"/>
      <c r="I95" s="42"/>
    </row>
    <row r="96" spans="1:15" ht="13.5" customHeight="1">
      <c r="A96" s="46"/>
      <c r="B96" s="8"/>
      <c r="C96" s="42"/>
      <c r="D96" s="42"/>
      <c r="E96" s="42"/>
      <c r="F96" s="42"/>
      <c r="G96" s="42"/>
      <c r="H96" s="42"/>
      <c r="I96" s="42"/>
    </row>
    <row r="97" spans="1:11" ht="13.5" customHeight="1">
      <c r="A97" s="86" t="s">
        <v>183</v>
      </c>
      <c r="B97" s="87"/>
      <c r="C97" s="87"/>
      <c r="D97" s="87"/>
      <c r="E97" s="87"/>
      <c r="F97" s="159"/>
      <c r="G97" s="87"/>
      <c r="H97" s="53"/>
      <c r="I97" s="89"/>
    </row>
    <row r="98" spans="1:11" ht="13.5" customHeight="1">
      <c r="A98" s="58" t="s">
        <v>1</v>
      </c>
      <c r="B98" s="58"/>
      <c r="C98" s="58"/>
      <c r="D98" s="58"/>
      <c r="E98" s="58"/>
      <c r="F98" s="58"/>
      <c r="G98" s="58"/>
      <c r="H98" s="160"/>
      <c r="I98" s="62"/>
    </row>
    <row r="99" spans="1:11" ht="13.5" customHeight="1">
      <c r="A99" s="58"/>
      <c r="B99" s="58"/>
      <c r="C99" s="42"/>
      <c r="D99" s="42"/>
      <c r="E99" s="42"/>
      <c r="F99" s="42"/>
      <c r="G99" s="42"/>
      <c r="H99" s="42"/>
      <c r="I99" s="42"/>
    </row>
    <row r="100" spans="1:11" ht="13.5" customHeight="1">
      <c r="A100" s="114"/>
      <c r="B100" s="114"/>
      <c r="C100" s="116"/>
      <c r="D100" s="116"/>
      <c r="E100" s="116"/>
      <c r="F100" s="116"/>
      <c r="G100" s="116"/>
      <c r="H100" s="116"/>
      <c r="I100" s="117" t="s">
        <v>73</v>
      </c>
      <c r="K100" s="170" t="s">
        <v>126</v>
      </c>
    </row>
    <row r="101" spans="1:11" ht="13.5" customHeight="1">
      <c r="A101" s="153"/>
      <c r="B101" s="152" t="s">
        <v>2</v>
      </c>
      <c r="C101" s="152" t="s">
        <v>99</v>
      </c>
      <c r="D101" s="154" t="s">
        <v>67</v>
      </c>
      <c r="E101" s="154" t="s">
        <v>68</v>
      </c>
      <c r="F101" s="154" t="s">
        <v>69</v>
      </c>
      <c r="G101" s="154" t="s">
        <v>70</v>
      </c>
      <c r="H101" s="154" t="s">
        <v>71</v>
      </c>
      <c r="I101" s="154" t="s">
        <v>72</v>
      </c>
    </row>
    <row r="102" spans="1:11" ht="13.5" customHeight="1">
      <c r="A102" s="37" t="s">
        <v>2</v>
      </c>
      <c r="B102" s="36">
        <v>80756</v>
      </c>
      <c r="C102" s="36">
        <v>11662</v>
      </c>
      <c r="D102" s="105">
        <v>19283</v>
      </c>
      <c r="E102" s="105">
        <v>23225</v>
      </c>
      <c r="F102" s="105">
        <v>13281</v>
      </c>
      <c r="G102" s="105">
        <v>6651</v>
      </c>
      <c r="H102" s="105">
        <v>4377</v>
      </c>
      <c r="I102" s="105">
        <v>2277</v>
      </c>
    </row>
    <row r="103" spans="1:11" ht="13.5" customHeight="1">
      <c r="A103" s="37" t="s">
        <v>5</v>
      </c>
      <c r="B103" s="36"/>
      <c r="C103" s="36"/>
      <c r="D103" s="36"/>
      <c r="E103" s="36"/>
      <c r="F103" s="36"/>
      <c r="G103" s="36"/>
      <c r="H103" s="36"/>
      <c r="I103" s="36"/>
    </row>
    <row r="104" spans="1:11" ht="13.5" customHeight="1">
      <c r="A104" s="9" t="s">
        <v>6</v>
      </c>
      <c r="B104" s="8">
        <v>2194</v>
      </c>
      <c r="C104" s="8">
        <v>14</v>
      </c>
      <c r="D104" s="8">
        <v>36</v>
      </c>
      <c r="E104" s="8">
        <v>148</v>
      </c>
      <c r="F104" s="8">
        <v>208</v>
      </c>
      <c r="G104" s="8">
        <v>271</v>
      </c>
      <c r="H104" s="8">
        <v>717</v>
      </c>
      <c r="I104" s="8">
        <v>800</v>
      </c>
      <c r="J104" s="172"/>
    </row>
    <row r="105" spans="1:11" ht="13.5" customHeight="1">
      <c r="A105" s="9" t="s">
        <v>7</v>
      </c>
      <c r="B105" s="8">
        <v>47934</v>
      </c>
      <c r="C105" s="8">
        <v>5921</v>
      </c>
      <c r="D105" s="8">
        <v>12073</v>
      </c>
      <c r="E105" s="8">
        <v>14635</v>
      </c>
      <c r="F105" s="8">
        <v>8073</v>
      </c>
      <c r="G105" s="8">
        <v>4105</v>
      </c>
      <c r="H105" s="8">
        <v>2206</v>
      </c>
      <c r="I105" s="8">
        <v>921</v>
      </c>
      <c r="J105" s="172"/>
    </row>
    <row r="106" spans="1:11" ht="13.5" customHeight="1">
      <c r="A106" s="10" t="s">
        <v>8</v>
      </c>
      <c r="B106" s="8">
        <v>29903</v>
      </c>
      <c r="C106" s="8">
        <v>5459</v>
      </c>
      <c r="D106" s="8">
        <v>7114</v>
      </c>
      <c r="E106" s="8">
        <v>8353</v>
      </c>
      <c r="F106" s="8">
        <v>4892</v>
      </c>
      <c r="G106" s="8">
        <v>2188</v>
      </c>
      <c r="H106" s="8">
        <v>1377</v>
      </c>
      <c r="I106" s="8">
        <v>520</v>
      </c>
      <c r="J106" s="172"/>
    </row>
    <row r="107" spans="1:11" ht="13.5" customHeight="1">
      <c r="A107" s="10" t="s">
        <v>65</v>
      </c>
      <c r="B107" s="8">
        <v>725</v>
      </c>
      <c r="C107" s="8">
        <v>268</v>
      </c>
      <c r="D107" s="8">
        <v>60</v>
      </c>
      <c r="E107" s="8">
        <v>89</v>
      </c>
      <c r="F107" s="8">
        <v>108</v>
      </c>
      <c r="G107" s="8">
        <v>87</v>
      </c>
      <c r="H107" s="8">
        <v>77</v>
      </c>
      <c r="I107" s="8">
        <v>36</v>
      </c>
      <c r="J107" s="172"/>
    </row>
    <row r="108" spans="1:11" ht="13.5" customHeight="1">
      <c r="A108" s="106" t="s">
        <v>39</v>
      </c>
      <c r="B108" s="36"/>
      <c r="C108" s="36"/>
      <c r="D108" s="36"/>
      <c r="E108" s="36"/>
      <c r="F108" s="36"/>
      <c r="G108" s="36"/>
      <c r="H108" s="36"/>
      <c r="I108" s="36"/>
      <c r="J108" s="172"/>
    </row>
    <row r="109" spans="1:11" ht="13.5" customHeight="1">
      <c r="A109" s="9" t="s">
        <v>10</v>
      </c>
      <c r="B109" s="8">
        <v>12734</v>
      </c>
      <c r="C109" s="8">
        <v>1573</v>
      </c>
      <c r="D109" s="8">
        <v>2455</v>
      </c>
      <c r="E109" s="8">
        <v>3340</v>
      </c>
      <c r="F109" s="8">
        <v>2094</v>
      </c>
      <c r="G109" s="8">
        <v>1277</v>
      </c>
      <c r="H109" s="8">
        <v>1226</v>
      </c>
      <c r="I109" s="8">
        <v>769</v>
      </c>
      <c r="J109" s="172"/>
    </row>
    <row r="110" spans="1:11" ht="13.5" customHeight="1">
      <c r="A110" s="9" t="s">
        <v>11</v>
      </c>
      <c r="B110" s="8">
        <v>14746</v>
      </c>
      <c r="C110" s="8">
        <v>1520</v>
      </c>
      <c r="D110" s="8">
        <v>3909</v>
      </c>
      <c r="E110" s="8">
        <v>4807</v>
      </c>
      <c r="F110" s="8">
        <v>2393</v>
      </c>
      <c r="G110" s="8">
        <v>939</v>
      </c>
      <c r="H110" s="8">
        <v>800</v>
      </c>
      <c r="I110" s="8">
        <v>378</v>
      </c>
      <c r="J110" s="172"/>
    </row>
    <row r="111" spans="1:11" ht="13.5" customHeight="1">
      <c r="A111" s="9" t="s">
        <v>12</v>
      </c>
      <c r="B111" s="8">
        <v>17833</v>
      </c>
      <c r="C111" s="8">
        <v>2760</v>
      </c>
      <c r="D111" s="8">
        <v>6276</v>
      </c>
      <c r="E111" s="8">
        <v>5922</v>
      </c>
      <c r="F111" s="8">
        <v>1733</v>
      </c>
      <c r="G111" s="8">
        <v>600</v>
      </c>
      <c r="H111" s="8">
        <v>339</v>
      </c>
      <c r="I111" s="8">
        <v>203</v>
      </c>
      <c r="J111" s="172"/>
    </row>
    <row r="112" spans="1:11" ht="13.5" customHeight="1">
      <c r="A112" s="9" t="s">
        <v>13</v>
      </c>
      <c r="B112" s="8">
        <v>13938</v>
      </c>
      <c r="C112" s="8">
        <v>3417</v>
      </c>
      <c r="D112" s="8">
        <v>3198</v>
      </c>
      <c r="E112" s="8">
        <v>4295</v>
      </c>
      <c r="F112" s="8">
        <v>1778</v>
      </c>
      <c r="G112" s="8">
        <v>617</v>
      </c>
      <c r="H112" s="8">
        <v>426</v>
      </c>
      <c r="I112" s="8">
        <v>207</v>
      </c>
      <c r="J112" s="172"/>
    </row>
    <row r="113" spans="1:10" ht="13.5" customHeight="1">
      <c r="A113" s="9" t="s">
        <v>14</v>
      </c>
      <c r="B113" s="8">
        <v>5791</v>
      </c>
      <c r="C113" s="8">
        <v>1097</v>
      </c>
      <c r="D113" s="8">
        <v>903</v>
      </c>
      <c r="E113" s="8">
        <v>1418</v>
      </c>
      <c r="F113" s="8">
        <v>1322</v>
      </c>
      <c r="G113" s="8">
        <v>566</v>
      </c>
      <c r="H113" s="8">
        <v>308</v>
      </c>
      <c r="I113" s="8">
        <v>177</v>
      </c>
      <c r="J113" s="172"/>
    </row>
    <row r="114" spans="1:10" ht="13.5" customHeight="1">
      <c r="A114" s="9" t="s">
        <v>15</v>
      </c>
      <c r="B114" s="8">
        <v>1829</v>
      </c>
      <c r="C114" s="8">
        <v>48</v>
      </c>
      <c r="D114" s="8">
        <v>248</v>
      </c>
      <c r="E114" s="8">
        <v>425</v>
      </c>
      <c r="F114" s="8">
        <v>495</v>
      </c>
      <c r="G114" s="8">
        <v>400</v>
      </c>
      <c r="H114" s="8">
        <v>143</v>
      </c>
      <c r="I114" s="8">
        <v>70</v>
      </c>
      <c r="J114" s="172"/>
    </row>
    <row r="115" spans="1:10" ht="13.5" customHeight="1">
      <c r="A115" s="9" t="s">
        <v>16</v>
      </c>
      <c r="B115" s="8">
        <v>1762</v>
      </c>
      <c r="C115" s="8">
        <v>107</v>
      </c>
      <c r="D115" s="8">
        <v>257</v>
      </c>
      <c r="E115" s="8">
        <v>287</v>
      </c>
      <c r="F115" s="8">
        <v>435</v>
      </c>
      <c r="G115" s="8">
        <v>396</v>
      </c>
      <c r="H115" s="8">
        <v>192</v>
      </c>
      <c r="I115" s="8">
        <v>88</v>
      </c>
      <c r="J115" s="172"/>
    </row>
    <row r="116" spans="1:10" ht="13.5" customHeight="1">
      <c r="A116" s="9" t="s">
        <v>17</v>
      </c>
      <c r="B116" s="8">
        <v>1017</v>
      </c>
      <c r="C116" s="8">
        <v>171</v>
      </c>
      <c r="D116" s="8">
        <v>189</v>
      </c>
      <c r="E116" s="8">
        <v>189</v>
      </c>
      <c r="F116" s="8">
        <v>223</v>
      </c>
      <c r="G116" s="8">
        <v>98</v>
      </c>
      <c r="H116" s="8">
        <v>82</v>
      </c>
      <c r="I116" s="8">
        <v>65</v>
      </c>
      <c r="J116" s="172"/>
    </row>
    <row r="117" spans="1:10" ht="13.5" customHeight="1">
      <c r="A117" s="9" t="s">
        <v>18</v>
      </c>
      <c r="B117" s="8">
        <v>995</v>
      </c>
      <c r="C117" s="8">
        <v>22</v>
      </c>
      <c r="D117" s="8">
        <v>105</v>
      </c>
      <c r="E117" s="8">
        <v>245</v>
      </c>
      <c r="F117" s="8">
        <v>242</v>
      </c>
      <c r="G117" s="8">
        <v>211</v>
      </c>
      <c r="H117" s="8">
        <v>113</v>
      </c>
      <c r="I117" s="8">
        <v>57</v>
      </c>
      <c r="J117" s="172"/>
    </row>
    <row r="118" spans="1:10" ht="13.5" customHeight="1">
      <c r="A118" s="9" t="s">
        <v>19</v>
      </c>
      <c r="B118" s="8">
        <v>1000</v>
      </c>
      <c r="C118" s="8">
        <v>26</v>
      </c>
      <c r="D118" s="8">
        <v>75</v>
      </c>
      <c r="E118" s="8">
        <v>124</v>
      </c>
      <c r="F118" s="8">
        <v>281</v>
      </c>
      <c r="G118" s="8">
        <v>308</v>
      </c>
      <c r="H118" s="8">
        <v>119</v>
      </c>
      <c r="I118" s="8">
        <v>67</v>
      </c>
      <c r="J118" s="172"/>
    </row>
    <row r="119" spans="1:10" ht="13.5" customHeight="1">
      <c r="A119" s="9" t="s">
        <v>20</v>
      </c>
      <c r="B119" s="8">
        <v>2222</v>
      </c>
      <c r="C119" s="8">
        <v>98</v>
      </c>
      <c r="D119" s="8">
        <v>249</v>
      </c>
      <c r="E119" s="8">
        <v>421</v>
      </c>
      <c r="F119" s="8">
        <v>611</v>
      </c>
      <c r="G119" s="8">
        <v>481</v>
      </c>
      <c r="H119" s="8">
        <v>278</v>
      </c>
      <c r="I119" s="8">
        <v>84</v>
      </c>
      <c r="J119" s="172"/>
    </row>
    <row r="120" spans="1:10" ht="13.5" customHeight="1">
      <c r="A120" s="9" t="s">
        <v>21</v>
      </c>
      <c r="B120" s="8">
        <v>2297</v>
      </c>
      <c r="C120" s="8">
        <v>251</v>
      </c>
      <c r="D120" s="8">
        <v>357</v>
      </c>
      <c r="E120" s="8">
        <v>453</v>
      </c>
      <c r="F120" s="8">
        <v>614</v>
      </c>
      <c r="G120" s="8">
        <v>344</v>
      </c>
      <c r="H120" s="8">
        <v>212</v>
      </c>
      <c r="I120" s="8">
        <v>66</v>
      </c>
      <c r="J120" s="172"/>
    </row>
    <row r="121" spans="1:10" ht="13.5" customHeight="1">
      <c r="A121" s="9" t="s">
        <v>112</v>
      </c>
      <c r="B121" s="8">
        <v>4592</v>
      </c>
      <c r="C121" s="8">
        <v>572</v>
      </c>
      <c r="D121" s="8">
        <v>1062</v>
      </c>
      <c r="E121" s="8">
        <v>1299</v>
      </c>
      <c r="F121" s="8">
        <v>1060</v>
      </c>
      <c r="G121" s="8">
        <v>414</v>
      </c>
      <c r="H121" s="8">
        <v>139</v>
      </c>
      <c r="I121" s="8">
        <v>46</v>
      </c>
      <c r="J121" s="172"/>
    </row>
    <row r="122" spans="1:10" ht="13.5" customHeight="1">
      <c r="A122" s="106" t="s">
        <v>40</v>
      </c>
      <c r="B122" s="36"/>
      <c r="C122" s="36"/>
      <c r="D122" s="36"/>
      <c r="E122" s="36"/>
      <c r="F122" s="36"/>
      <c r="G122" s="36"/>
      <c r="H122" s="36"/>
      <c r="I122" s="36"/>
      <c r="J122" s="172"/>
    </row>
    <row r="123" spans="1:10" ht="13.5" customHeight="1">
      <c r="A123" s="9" t="s">
        <v>23</v>
      </c>
      <c r="B123" s="8">
        <v>157</v>
      </c>
      <c r="C123" s="8">
        <v>65</v>
      </c>
      <c r="D123" s="8">
        <v>17</v>
      </c>
      <c r="E123" s="8">
        <v>23</v>
      </c>
      <c r="F123" s="8">
        <v>16</v>
      </c>
      <c r="G123" s="8">
        <v>11</v>
      </c>
      <c r="H123" s="8">
        <v>15</v>
      </c>
      <c r="I123" s="8">
        <v>10</v>
      </c>
      <c r="J123" s="42"/>
    </row>
    <row r="124" spans="1:10" ht="13.5" customHeight="1">
      <c r="A124" s="9" t="s">
        <v>24</v>
      </c>
      <c r="B124" s="8">
        <v>1972</v>
      </c>
      <c r="C124" s="8">
        <v>260</v>
      </c>
      <c r="D124" s="8">
        <v>110</v>
      </c>
      <c r="E124" s="8">
        <v>255</v>
      </c>
      <c r="F124" s="8">
        <v>271</v>
      </c>
      <c r="G124" s="8">
        <v>304</v>
      </c>
      <c r="H124" s="8">
        <v>437</v>
      </c>
      <c r="I124" s="8">
        <v>335</v>
      </c>
      <c r="J124" s="42"/>
    </row>
    <row r="125" spans="1:10" ht="13.5" customHeight="1">
      <c r="A125" s="9" t="s">
        <v>25</v>
      </c>
      <c r="B125" s="8">
        <v>5058</v>
      </c>
      <c r="C125" s="8">
        <v>380</v>
      </c>
      <c r="D125" s="8">
        <v>706</v>
      </c>
      <c r="E125" s="8">
        <v>886</v>
      </c>
      <c r="F125" s="8">
        <v>909</v>
      </c>
      <c r="G125" s="8">
        <v>676</v>
      </c>
      <c r="H125" s="8">
        <v>788</v>
      </c>
      <c r="I125" s="8">
        <v>713</v>
      </c>
      <c r="J125" s="42"/>
    </row>
    <row r="126" spans="1:10" ht="13.5" customHeight="1">
      <c r="A126" s="9" t="s">
        <v>26</v>
      </c>
      <c r="B126" s="8">
        <v>11526</v>
      </c>
      <c r="C126" s="8">
        <v>1332</v>
      </c>
      <c r="D126" s="8">
        <v>2957</v>
      </c>
      <c r="E126" s="8">
        <v>3641</v>
      </c>
      <c r="F126" s="8">
        <v>1871</v>
      </c>
      <c r="G126" s="8">
        <v>865</v>
      </c>
      <c r="H126" s="8">
        <v>624</v>
      </c>
      <c r="I126" s="8">
        <v>236</v>
      </c>
      <c r="J126" s="42"/>
    </row>
    <row r="127" spans="1:10" ht="13.5" customHeight="1">
      <c r="A127" s="9" t="s">
        <v>27</v>
      </c>
      <c r="B127" s="8">
        <v>19997</v>
      </c>
      <c r="C127" s="8">
        <v>2483</v>
      </c>
      <c r="D127" s="8">
        <v>5391</v>
      </c>
      <c r="E127" s="8">
        <v>6128</v>
      </c>
      <c r="F127" s="8">
        <v>3349</v>
      </c>
      <c r="G127" s="8">
        <v>1480</v>
      </c>
      <c r="H127" s="8">
        <v>883</v>
      </c>
      <c r="I127" s="8">
        <v>283</v>
      </c>
      <c r="J127" s="42"/>
    </row>
    <row r="128" spans="1:10" ht="13.5" customHeight="1">
      <c r="A128" s="9" t="s">
        <v>28</v>
      </c>
      <c r="B128" s="8">
        <v>16310</v>
      </c>
      <c r="C128" s="8">
        <v>2810</v>
      </c>
      <c r="D128" s="8">
        <v>4195</v>
      </c>
      <c r="E128" s="8">
        <v>4709</v>
      </c>
      <c r="F128" s="8">
        <v>2508</v>
      </c>
      <c r="G128" s="8">
        <v>1170</v>
      </c>
      <c r="H128" s="8">
        <v>624</v>
      </c>
      <c r="I128" s="8">
        <v>294</v>
      </c>
      <c r="J128" s="42"/>
    </row>
    <row r="129" spans="1:15" ht="13.5" customHeight="1">
      <c r="A129" s="9" t="s">
        <v>29</v>
      </c>
      <c r="B129" s="8">
        <v>12660</v>
      </c>
      <c r="C129" s="8">
        <v>2187</v>
      </c>
      <c r="D129" s="8">
        <v>2886</v>
      </c>
      <c r="E129" s="8">
        <v>3502</v>
      </c>
      <c r="F129" s="8">
        <v>2256</v>
      </c>
      <c r="G129" s="8">
        <v>1107</v>
      </c>
      <c r="H129" s="8">
        <v>511</v>
      </c>
      <c r="I129" s="8">
        <v>211</v>
      </c>
      <c r="J129" s="42"/>
    </row>
    <row r="130" spans="1:15" ht="13.5" customHeight="1">
      <c r="A130" s="10" t="s">
        <v>30</v>
      </c>
      <c r="B130" s="8">
        <v>13076</v>
      </c>
      <c r="C130" s="8">
        <v>2145</v>
      </c>
      <c r="D130" s="8">
        <v>3021</v>
      </c>
      <c r="E130" s="8">
        <v>4081</v>
      </c>
      <c r="F130" s="8">
        <v>2101</v>
      </c>
      <c r="G130" s="8">
        <v>1038</v>
      </c>
      <c r="H130" s="8">
        <v>495</v>
      </c>
      <c r="I130" s="8">
        <v>195</v>
      </c>
      <c r="J130" s="42"/>
    </row>
    <row r="131" spans="1:15" ht="13.5" customHeight="1">
      <c r="A131" s="106" t="s">
        <v>44</v>
      </c>
      <c r="B131" s="36"/>
      <c r="C131" s="36"/>
      <c r="D131" s="36"/>
      <c r="E131" s="36"/>
      <c r="F131" s="36"/>
      <c r="G131" s="36"/>
      <c r="H131" s="36"/>
      <c r="I131" s="36"/>
      <c r="J131" s="172"/>
    </row>
    <row r="132" spans="1:15" ht="13.5" customHeight="1">
      <c r="A132" s="10" t="s">
        <v>45</v>
      </c>
      <c r="B132" s="8">
        <v>12309</v>
      </c>
      <c r="C132" s="42">
        <v>10456</v>
      </c>
      <c r="D132" s="42">
        <v>1655</v>
      </c>
      <c r="E132" s="42">
        <v>119</v>
      </c>
      <c r="F132" s="42">
        <v>40</v>
      </c>
      <c r="G132" s="42">
        <v>18</v>
      </c>
      <c r="H132" s="42">
        <v>16</v>
      </c>
      <c r="I132" s="42">
        <v>5</v>
      </c>
    </row>
    <row r="133" spans="1:15" ht="13.5" customHeight="1">
      <c r="A133" s="10" t="s">
        <v>46</v>
      </c>
      <c r="B133" s="8">
        <v>21907</v>
      </c>
      <c r="C133" s="42">
        <v>1187</v>
      </c>
      <c r="D133" s="42">
        <v>15502</v>
      </c>
      <c r="E133" s="42">
        <v>4823</v>
      </c>
      <c r="F133" s="42">
        <v>318</v>
      </c>
      <c r="G133" s="42">
        <v>55</v>
      </c>
      <c r="H133" s="42">
        <v>17</v>
      </c>
      <c r="I133" s="42">
        <v>5</v>
      </c>
    </row>
    <row r="134" spans="1:15" ht="13.5" customHeight="1">
      <c r="A134" s="10" t="s">
        <v>47</v>
      </c>
      <c r="B134" s="8">
        <v>25963</v>
      </c>
      <c r="C134" s="42">
        <v>18</v>
      </c>
      <c r="D134" s="42">
        <v>2088</v>
      </c>
      <c r="E134" s="42">
        <v>16717</v>
      </c>
      <c r="F134" s="42">
        <v>6234</v>
      </c>
      <c r="G134" s="42">
        <v>682</v>
      </c>
      <c r="H134" s="42">
        <v>196</v>
      </c>
      <c r="I134" s="42">
        <v>28</v>
      </c>
    </row>
    <row r="135" spans="1:15" ht="13.5" customHeight="1">
      <c r="A135" s="10" t="s">
        <v>48</v>
      </c>
      <c r="B135" s="8">
        <v>13233</v>
      </c>
      <c r="C135" s="42">
        <v>1</v>
      </c>
      <c r="D135" s="42">
        <v>32</v>
      </c>
      <c r="E135" s="42">
        <v>1511</v>
      </c>
      <c r="F135" s="42">
        <v>6246</v>
      </c>
      <c r="G135" s="42">
        <v>4136</v>
      </c>
      <c r="H135" s="42">
        <v>1148</v>
      </c>
      <c r="I135" s="42">
        <v>159</v>
      </c>
    </row>
    <row r="136" spans="1:15" ht="13.5" customHeight="1">
      <c r="A136" s="10" t="s">
        <v>49</v>
      </c>
      <c r="B136" s="8">
        <v>4754</v>
      </c>
      <c r="C136" s="42">
        <v>0</v>
      </c>
      <c r="D136" s="42">
        <v>6</v>
      </c>
      <c r="E136" s="42">
        <v>50</v>
      </c>
      <c r="F136" s="42">
        <v>415</v>
      </c>
      <c r="G136" s="42">
        <v>1631</v>
      </c>
      <c r="H136" s="42">
        <v>2084</v>
      </c>
      <c r="I136" s="42">
        <v>568</v>
      </c>
    </row>
    <row r="137" spans="1:15" ht="13.5" customHeight="1">
      <c r="A137" s="10" t="s">
        <v>98</v>
      </c>
      <c r="B137" s="8">
        <v>2590</v>
      </c>
      <c r="C137" s="8">
        <v>0</v>
      </c>
      <c r="D137" s="8">
        <v>0</v>
      </c>
      <c r="E137" s="8">
        <v>5</v>
      </c>
      <c r="F137" s="8">
        <v>28</v>
      </c>
      <c r="G137" s="8">
        <v>129</v>
      </c>
      <c r="H137" s="8">
        <v>916</v>
      </c>
      <c r="I137" s="8">
        <v>1512</v>
      </c>
      <c r="M137"/>
      <c r="N137"/>
      <c r="O137"/>
    </row>
    <row r="138" spans="1:15" ht="13.5" customHeight="1">
      <c r="A138" s="161"/>
      <c r="C138" s="161"/>
      <c r="D138" s="161"/>
      <c r="E138" s="161"/>
      <c r="F138" s="161"/>
      <c r="G138" s="161"/>
      <c r="H138" s="161"/>
      <c r="J138"/>
      <c r="M138"/>
      <c r="N138"/>
      <c r="O138"/>
    </row>
    <row r="139" spans="1:15" ht="13.5" customHeight="1">
      <c r="A139" s="9" t="s">
        <v>84</v>
      </c>
      <c r="B139" s="161"/>
      <c r="C139" s="161"/>
      <c r="D139" s="161"/>
      <c r="E139" s="161"/>
      <c r="F139" s="161"/>
      <c r="G139" s="8"/>
      <c r="H139" s="8"/>
      <c r="J139"/>
      <c r="K139"/>
      <c r="L139"/>
    </row>
    <row r="140" spans="1:15" ht="13.5" customHeight="1">
      <c r="A140" s="10"/>
      <c r="B140" s="8"/>
      <c r="C140" s="42"/>
      <c r="D140" s="42"/>
      <c r="E140" s="42"/>
      <c r="F140" s="42"/>
      <c r="G140" s="42"/>
      <c r="H140" s="42"/>
      <c r="I140" s="42"/>
      <c r="K140"/>
      <c r="L140"/>
    </row>
    <row r="141" spans="1:15" ht="13.5" customHeight="1">
      <c r="A141" s="46" t="s">
        <v>113</v>
      </c>
      <c r="B141" s="8"/>
      <c r="C141" s="42"/>
      <c r="D141" s="42"/>
      <c r="E141" s="42"/>
      <c r="F141" s="42"/>
      <c r="G141" s="42"/>
      <c r="H141" s="42"/>
      <c r="I141" s="42"/>
    </row>
    <row r="142" spans="1:15" ht="13.5" customHeight="1">
      <c r="A142" s="46"/>
      <c r="B142" s="8"/>
      <c r="C142" s="42"/>
      <c r="D142" s="42"/>
      <c r="E142" s="42"/>
      <c r="F142" s="42"/>
      <c r="G142" s="42"/>
      <c r="H142" s="42"/>
      <c r="I142" s="42"/>
    </row>
    <row r="143" spans="1:15" ht="13.5" customHeight="1">
      <c r="A143" s="46"/>
      <c r="B143" s="8"/>
      <c r="C143" s="42"/>
      <c r="D143" s="42"/>
      <c r="E143" s="42"/>
      <c r="F143" s="42"/>
      <c r="G143" s="42"/>
      <c r="H143" s="42"/>
      <c r="I143" s="42"/>
    </row>
    <row r="144" spans="1:15" ht="13.5" customHeight="1">
      <c r="A144" s="86" t="s">
        <v>159</v>
      </c>
      <c r="B144" s="87"/>
      <c r="C144" s="87"/>
      <c r="D144" s="87"/>
      <c r="E144" s="87"/>
      <c r="F144" s="159"/>
      <c r="G144" s="87"/>
      <c r="H144" s="53"/>
      <c r="I144" s="89"/>
    </row>
    <row r="145" spans="1:11" ht="13.5" customHeight="1">
      <c r="A145" s="58" t="s">
        <v>1</v>
      </c>
      <c r="B145" s="58"/>
      <c r="C145" s="58"/>
      <c r="D145" s="58"/>
      <c r="E145" s="58"/>
      <c r="F145" s="58"/>
      <c r="G145" s="58"/>
      <c r="H145" s="160"/>
      <c r="I145" s="62"/>
    </row>
    <row r="146" spans="1:11" ht="13.5" customHeight="1">
      <c r="A146" s="58"/>
      <c r="B146" s="58"/>
      <c r="C146" s="42"/>
      <c r="D146" s="42"/>
      <c r="E146" s="42"/>
      <c r="F146" s="42"/>
      <c r="G146" s="42"/>
      <c r="H146" s="42"/>
      <c r="I146" s="42"/>
    </row>
    <row r="147" spans="1:11" ht="13.5" customHeight="1">
      <c r="A147" s="114"/>
      <c r="B147" s="114"/>
      <c r="C147" s="116"/>
      <c r="D147" s="116"/>
      <c r="E147" s="116"/>
      <c r="F147" s="116"/>
      <c r="G147" s="116"/>
      <c r="H147" s="116"/>
      <c r="I147" s="117" t="s">
        <v>73</v>
      </c>
      <c r="K147" s="170" t="s">
        <v>126</v>
      </c>
    </row>
    <row r="148" spans="1:11" ht="13.5" customHeight="1">
      <c r="A148" s="153"/>
      <c r="B148" s="152" t="s">
        <v>2</v>
      </c>
      <c r="C148" s="152" t="s">
        <v>99</v>
      </c>
      <c r="D148" s="154" t="s">
        <v>67</v>
      </c>
      <c r="E148" s="154" t="s">
        <v>68</v>
      </c>
      <c r="F148" s="154" t="s">
        <v>69</v>
      </c>
      <c r="G148" s="154" t="s">
        <v>70</v>
      </c>
      <c r="H148" s="154" t="s">
        <v>71</v>
      </c>
      <c r="I148" s="154" t="s">
        <v>72</v>
      </c>
    </row>
    <row r="149" spans="1:11" ht="13.5" customHeight="1">
      <c r="A149" s="37" t="s">
        <v>2</v>
      </c>
      <c r="B149" s="36">
        <v>80125</v>
      </c>
      <c r="C149" s="105">
        <v>11632</v>
      </c>
      <c r="D149" s="105">
        <v>19126</v>
      </c>
      <c r="E149" s="105">
        <v>23005</v>
      </c>
      <c r="F149" s="105">
        <v>13142</v>
      </c>
      <c r="G149" s="105">
        <v>6581</v>
      </c>
      <c r="H149" s="105">
        <v>4362</v>
      </c>
      <c r="I149" s="105">
        <v>2277</v>
      </c>
    </row>
    <row r="150" spans="1:11" ht="13.5" customHeight="1">
      <c r="A150" s="37" t="s">
        <v>5</v>
      </c>
      <c r="B150" s="36"/>
      <c r="C150" s="36"/>
      <c r="D150" s="36"/>
      <c r="E150" s="36"/>
      <c r="F150" s="36"/>
      <c r="G150" s="36"/>
      <c r="H150" s="36"/>
      <c r="I150" s="36"/>
    </row>
    <row r="151" spans="1:11" ht="13.5" customHeight="1">
      <c r="A151" s="9" t="s">
        <v>6</v>
      </c>
      <c r="B151" s="8">
        <v>2177</v>
      </c>
      <c r="C151" s="8">
        <v>15</v>
      </c>
      <c r="D151" s="8">
        <v>39</v>
      </c>
      <c r="E151" s="8">
        <v>150</v>
      </c>
      <c r="F151" s="8">
        <v>204</v>
      </c>
      <c r="G151" s="8">
        <v>266</v>
      </c>
      <c r="H151" s="8">
        <v>712</v>
      </c>
      <c r="I151" s="8">
        <v>791</v>
      </c>
      <c r="J151" s="172"/>
    </row>
    <row r="152" spans="1:11" ht="13.5" customHeight="1">
      <c r="A152" s="9" t="s">
        <v>7</v>
      </c>
      <c r="B152" s="8">
        <v>47591</v>
      </c>
      <c r="C152" s="8">
        <v>5885</v>
      </c>
      <c r="D152" s="8">
        <v>11987</v>
      </c>
      <c r="E152" s="8">
        <v>14515</v>
      </c>
      <c r="F152" s="8">
        <v>8040</v>
      </c>
      <c r="G152" s="8">
        <v>4048</v>
      </c>
      <c r="H152" s="8">
        <v>2196</v>
      </c>
      <c r="I152" s="8">
        <v>920</v>
      </c>
      <c r="J152" s="172"/>
    </row>
    <row r="153" spans="1:11" ht="13.5" customHeight="1">
      <c r="A153" s="10" t="s">
        <v>8</v>
      </c>
      <c r="B153" s="8">
        <v>29305</v>
      </c>
      <c r="C153" s="8">
        <v>5417</v>
      </c>
      <c r="D153" s="8">
        <v>6987</v>
      </c>
      <c r="E153" s="8">
        <v>8166</v>
      </c>
      <c r="F153" s="8">
        <v>4742</v>
      </c>
      <c r="G153" s="8">
        <v>2159</v>
      </c>
      <c r="H153" s="8">
        <v>1329</v>
      </c>
      <c r="I153" s="8">
        <v>505</v>
      </c>
      <c r="J153" s="172"/>
    </row>
    <row r="154" spans="1:11" ht="13.5" customHeight="1">
      <c r="A154" s="10" t="s">
        <v>65</v>
      </c>
      <c r="B154" s="8">
        <v>1052</v>
      </c>
      <c r="C154" s="8">
        <v>315</v>
      </c>
      <c r="D154" s="8">
        <v>113</v>
      </c>
      <c r="E154" s="8">
        <v>174</v>
      </c>
      <c r="F154" s="8">
        <v>156</v>
      </c>
      <c r="G154" s="8">
        <v>108</v>
      </c>
      <c r="H154" s="8">
        <v>125</v>
      </c>
      <c r="I154" s="8">
        <v>61</v>
      </c>
      <c r="J154" s="172"/>
    </row>
    <row r="155" spans="1:11" ht="13.5" customHeight="1">
      <c r="A155" s="106" t="s">
        <v>39</v>
      </c>
      <c r="B155" s="36"/>
      <c r="C155" s="36"/>
      <c r="D155" s="36"/>
      <c r="E155" s="36"/>
      <c r="F155" s="36"/>
      <c r="G155" s="36"/>
      <c r="H155" s="36"/>
      <c r="I155" s="36"/>
      <c r="J155" s="172"/>
    </row>
    <row r="156" spans="1:11" ht="13.5" customHeight="1">
      <c r="A156" s="9" t="s">
        <v>10</v>
      </c>
      <c r="B156" s="8">
        <v>12702</v>
      </c>
      <c r="C156" s="8">
        <v>1586</v>
      </c>
      <c r="D156" s="8">
        <v>2443</v>
      </c>
      <c r="E156" s="8">
        <v>3323</v>
      </c>
      <c r="F156" s="8">
        <v>2084</v>
      </c>
      <c r="G156" s="8">
        <v>1275</v>
      </c>
      <c r="H156" s="8">
        <v>1225</v>
      </c>
      <c r="I156" s="8">
        <v>766</v>
      </c>
      <c r="J156" s="172"/>
    </row>
    <row r="157" spans="1:11" ht="13.5" customHeight="1">
      <c r="A157" s="9" t="s">
        <v>11</v>
      </c>
      <c r="B157" s="8">
        <v>14754</v>
      </c>
      <c r="C157" s="8">
        <v>1518</v>
      </c>
      <c r="D157" s="8">
        <v>3908</v>
      </c>
      <c r="E157" s="8">
        <v>4813</v>
      </c>
      <c r="F157" s="8">
        <v>2391</v>
      </c>
      <c r="G157" s="8">
        <v>939</v>
      </c>
      <c r="H157" s="8">
        <v>798</v>
      </c>
      <c r="I157" s="8">
        <v>387</v>
      </c>
      <c r="J157" s="172"/>
    </row>
    <row r="158" spans="1:11" ht="13.5" customHeight="1">
      <c r="A158" s="9" t="s">
        <v>12</v>
      </c>
      <c r="B158" s="8">
        <v>17824</v>
      </c>
      <c r="C158" s="8">
        <v>2752</v>
      </c>
      <c r="D158" s="8">
        <v>6277</v>
      </c>
      <c r="E158" s="8">
        <v>5921</v>
      </c>
      <c r="F158" s="8">
        <v>1731</v>
      </c>
      <c r="G158" s="8">
        <v>597</v>
      </c>
      <c r="H158" s="8">
        <v>341</v>
      </c>
      <c r="I158" s="8">
        <v>205</v>
      </c>
      <c r="J158" s="172"/>
    </row>
    <row r="159" spans="1:11" ht="13.5" customHeight="1">
      <c r="A159" s="9" t="s">
        <v>13</v>
      </c>
      <c r="B159" s="8">
        <v>13933</v>
      </c>
      <c r="C159" s="8">
        <v>3426</v>
      </c>
      <c r="D159" s="8">
        <v>3174</v>
      </c>
      <c r="E159" s="8">
        <v>4291</v>
      </c>
      <c r="F159" s="8">
        <v>1790</v>
      </c>
      <c r="G159" s="8">
        <v>617</v>
      </c>
      <c r="H159" s="8">
        <v>427</v>
      </c>
      <c r="I159" s="8">
        <v>208</v>
      </c>
      <c r="J159" s="172"/>
    </row>
    <row r="160" spans="1:11" ht="13.5" customHeight="1">
      <c r="A160" s="9" t="s">
        <v>14</v>
      </c>
      <c r="B160" s="8">
        <v>5853</v>
      </c>
      <c r="C160" s="8">
        <v>1152</v>
      </c>
      <c r="D160" s="8">
        <v>902</v>
      </c>
      <c r="E160" s="8">
        <v>1421</v>
      </c>
      <c r="F160" s="8">
        <v>1326</v>
      </c>
      <c r="G160" s="8">
        <v>566</v>
      </c>
      <c r="H160" s="8">
        <v>309</v>
      </c>
      <c r="I160" s="8">
        <v>177</v>
      </c>
      <c r="J160" s="172"/>
    </row>
    <row r="161" spans="1:10" ht="13.5" customHeight="1">
      <c r="A161" s="9" t="s">
        <v>15</v>
      </c>
      <c r="B161" s="8">
        <v>1829</v>
      </c>
      <c r="C161" s="8">
        <v>48</v>
      </c>
      <c r="D161" s="8">
        <v>247</v>
      </c>
      <c r="E161" s="8">
        <v>425</v>
      </c>
      <c r="F161" s="8">
        <v>496</v>
      </c>
      <c r="G161" s="8">
        <v>398</v>
      </c>
      <c r="H161" s="8">
        <v>145</v>
      </c>
      <c r="I161" s="8">
        <v>70</v>
      </c>
      <c r="J161" s="172"/>
    </row>
    <row r="162" spans="1:10" ht="13.5" customHeight="1">
      <c r="A162" s="9" t="s">
        <v>16</v>
      </c>
      <c r="B162" s="8">
        <v>1764</v>
      </c>
      <c r="C162" s="8">
        <v>107</v>
      </c>
      <c r="D162" s="8">
        <v>258</v>
      </c>
      <c r="E162" s="8">
        <v>287</v>
      </c>
      <c r="F162" s="8">
        <v>435</v>
      </c>
      <c r="G162" s="8">
        <v>397</v>
      </c>
      <c r="H162" s="8">
        <v>191</v>
      </c>
      <c r="I162" s="8">
        <v>89</v>
      </c>
      <c r="J162" s="172"/>
    </row>
    <row r="163" spans="1:10" ht="13.5" customHeight="1">
      <c r="A163" s="9" t="s">
        <v>17</v>
      </c>
      <c r="B163" s="8">
        <v>1019</v>
      </c>
      <c r="C163" s="8">
        <v>172</v>
      </c>
      <c r="D163" s="8">
        <v>190</v>
      </c>
      <c r="E163" s="8">
        <v>188</v>
      </c>
      <c r="F163" s="8">
        <v>226</v>
      </c>
      <c r="G163" s="8">
        <v>94</v>
      </c>
      <c r="H163" s="8">
        <v>83</v>
      </c>
      <c r="I163" s="8">
        <v>66</v>
      </c>
      <c r="J163" s="172"/>
    </row>
    <row r="164" spans="1:10" ht="13.5" customHeight="1">
      <c r="A164" s="9" t="s">
        <v>18</v>
      </c>
      <c r="B164" s="8">
        <v>995</v>
      </c>
      <c r="C164" s="8">
        <v>22</v>
      </c>
      <c r="D164" s="8">
        <v>105</v>
      </c>
      <c r="E164" s="8">
        <v>244</v>
      </c>
      <c r="F164" s="8">
        <v>242</v>
      </c>
      <c r="G164" s="8">
        <v>211</v>
      </c>
      <c r="H164" s="8">
        <v>113</v>
      </c>
      <c r="I164" s="8">
        <v>58</v>
      </c>
      <c r="J164" s="172"/>
    </row>
    <row r="165" spans="1:10" ht="13.5" customHeight="1">
      <c r="A165" s="9" t="s">
        <v>19</v>
      </c>
      <c r="B165" s="8">
        <v>999</v>
      </c>
      <c r="C165" s="8">
        <v>26</v>
      </c>
      <c r="D165" s="8">
        <v>75</v>
      </c>
      <c r="E165" s="8">
        <v>123</v>
      </c>
      <c r="F165" s="8">
        <v>281</v>
      </c>
      <c r="G165" s="8">
        <v>308</v>
      </c>
      <c r="H165" s="8">
        <v>119</v>
      </c>
      <c r="I165" s="8">
        <v>67</v>
      </c>
      <c r="J165" s="172"/>
    </row>
    <row r="166" spans="1:10" ht="13.5" customHeight="1">
      <c r="A166" s="9" t="s">
        <v>20</v>
      </c>
      <c r="B166" s="8">
        <v>2226</v>
      </c>
      <c r="C166" s="8">
        <v>100</v>
      </c>
      <c r="D166" s="8">
        <v>251</v>
      </c>
      <c r="E166" s="8">
        <v>421</v>
      </c>
      <c r="F166" s="8">
        <v>611</v>
      </c>
      <c r="G166" s="8">
        <v>481</v>
      </c>
      <c r="H166" s="8">
        <v>278</v>
      </c>
      <c r="I166" s="8">
        <v>84</v>
      </c>
      <c r="J166" s="172"/>
    </row>
    <row r="167" spans="1:10" ht="13.5" customHeight="1">
      <c r="A167" s="9" t="s">
        <v>21</v>
      </c>
      <c r="B167" s="8">
        <v>2309</v>
      </c>
      <c r="C167" s="8">
        <v>252</v>
      </c>
      <c r="D167" s="8">
        <v>371</v>
      </c>
      <c r="E167" s="8">
        <v>452</v>
      </c>
      <c r="F167" s="8">
        <v>613</v>
      </c>
      <c r="G167" s="8">
        <v>344</v>
      </c>
      <c r="H167" s="8">
        <v>212</v>
      </c>
      <c r="I167" s="8">
        <v>65</v>
      </c>
      <c r="J167" s="172"/>
    </row>
    <row r="168" spans="1:10" ht="13.5" customHeight="1">
      <c r="A168" s="9" t="s">
        <v>112</v>
      </c>
      <c r="B168" s="8">
        <v>3918</v>
      </c>
      <c r="C168" s="8">
        <v>471</v>
      </c>
      <c r="D168" s="8">
        <v>925</v>
      </c>
      <c r="E168" s="8">
        <v>1096</v>
      </c>
      <c r="F168" s="8">
        <v>916</v>
      </c>
      <c r="G168" s="8">
        <v>354</v>
      </c>
      <c r="H168" s="8">
        <v>121</v>
      </c>
      <c r="I168" s="8">
        <v>35</v>
      </c>
      <c r="J168" s="172"/>
    </row>
    <row r="169" spans="1:10" ht="13.5" customHeight="1">
      <c r="A169" s="106" t="s">
        <v>40</v>
      </c>
      <c r="B169" s="36"/>
      <c r="C169" s="36"/>
      <c r="D169" s="36"/>
      <c r="E169" s="36"/>
      <c r="F169" s="36"/>
      <c r="G169" s="36"/>
      <c r="H169" s="36"/>
      <c r="I169" s="36"/>
      <c r="J169" s="172"/>
    </row>
    <row r="170" spans="1:10" ht="13.5" customHeight="1">
      <c r="A170" s="9" t="s">
        <v>23</v>
      </c>
      <c r="B170" s="8">
        <v>162</v>
      </c>
      <c r="C170" s="8">
        <v>65</v>
      </c>
      <c r="D170" s="8">
        <v>18</v>
      </c>
      <c r="E170" s="8">
        <v>25</v>
      </c>
      <c r="F170" s="8">
        <v>16</v>
      </c>
      <c r="G170" s="8">
        <v>11</v>
      </c>
      <c r="H170" s="8">
        <v>16</v>
      </c>
      <c r="I170" s="8">
        <v>11</v>
      </c>
      <c r="J170" s="42"/>
    </row>
    <row r="171" spans="1:10" ht="13.5" customHeight="1">
      <c r="A171" s="9" t="s">
        <v>24</v>
      </c>
      <c r="B171" s="8">
        <v>1963</v>
      </c>
      <c r="C171" s="8">
        <v>261</v>
      </c>
      <c r="D171" s="8">
        <v>112</v>
      </c>
      <c r="E171" s="8">
        <v>256</v>
      </c>
      <c r="F171" s="8">
        <v>271</v>
      </c>
      <c r="G171" s="8">
        <v>302</v>
      </c>
      <c r="H171" s="8">
        <v>434</v>
      </c>
      <c r="I171" s="8">
        <v>327</v>
      </c>
      <c r="J171" s="42"/>
    </row>
    <row r="172" spans="1:10" ht="13.5" customHeight="1">
      <c r="A172" s="9" t="s">
        <v>25</v>
      </c>
      <c r="B172" s="8">
        <v>5017</v>
      </c>
      <c r="C172" s="8">
        <v>359</v>
      </c>
      <c r="D172" s="8">
        <v>712</v>
      </c>
      <c r="E172" s="8">
        <v>881</v>
      </c>
      <c r="F172" s="8">
        <v>908</v>
      </c>
      <c r="G172" s="8">
        <v>663</v>
      </c>
      <c r="H172" s="8">
        <v>781</v>
      </c>
      <c r="I172" s="8">
        <v>713</v>
      </c>
      <c r="J172" s="42"/>
    </row>
    <row r="173" spans="1:10" ht="13.5" customHeight="1">
      <c r="A173" s="9" t="s">
        <v>26</v>
      </c>
      <c r="B173" s="8">
        <v>11530</v>
      </c>
      <c r="C173" s="8">
        <v>1323</v>
      </c>
      <c r="D173" s="8">
        <v>2957</v>
      </c>
      <c r="E173" s="8">
        <v>3635</v>
      </c>
      <c r="F173" s="8">
        <v>1883</v>
      </c>
      <c r="G173" s="8">
        <v>865</v>
      </c>
      <c r="H173" s="8">
        <v>625</v>
      </c>
      <c r="I173" s="8">
        <v>242</v>
      </c>
      <c r="J173" s="42"/>
    </row>
    <row r="174" spans="1:10" ht="13.5" customHeight="1">
      <c r="A174" s="9" t="s">
        <v>27</v>
      </c>
      <c r="B174" s="8">
        <v>19899</v>
      </c>
      <c r="C174" s="8">
        <v>2494</v>
      </c>
      <c r="D174" s="8">
        <v>5366</v>
      </c>
      <c r="E174" s="8">
        <v>6087</v>
      </c>
      <c r="F174" s="8">
        <v>3310</v>
      </c>
      <c r="G174" s="8">
        <v>1484</v>
      </c>
      <c r="H174" s="8">
        <v>877</v>
      </c>
      <c r="I174" s="8">
        <v>281</v>
      </c>
      <c r="J174" s="42"/>
    </row>
    <row r="175" spans="1:10" ht="13.5" customHeight="1">
      <c r="A175" s="9" t="s">
        <v>28</v>
      </c>
      <c r="B175" s="8">
        <v>16268</v>
      </c>
      <c r="C175" s="8">
        <v>2840</v>
      </c>
      <c r="D175" s="8">
        <v>4182</v>
      </c>
      <c r="E175" s="8">
        <v>4643</v>
      </c>
      <c r="F175" s="8">
        <v>2520</v>
      </c>
      <c r="G175" s="8">
        <v>1166</v>
      </c>
      <c r="H175" s="8">
        <v>623</v>
      </c>
      <c r="I175" s="8">
        <v>294</v>
      </c>
      <c r="J175" s="42"/>
    </row>
    <row r="176" spans="1:10" ht="13.5" customHeight="1">
      <c r="A176" s="9" t="s">
        <v>29</v>
      </c>
      <c r="B176" s="8">
        <v>12281</v>
      </c>
      <c r="C176" s="8">
        <v>2146</v>
      </c>
      <c r="D176" s="8">
        <v>2788</v>
      </c>
      <c r="E176" s="8">
        <v>3419</v>
      </c>
      <c r="F176" s="8">
        <v>2139</v>
      </c>
      <c r="G176" s="8">
        <v>1067</v>
      </c>
      <c r="H176" s="8">
        <v>511</v>
      </c>
      <c r="I176" s="8">
        <v>211</v>
      </c>
      <c r="J176" s="42"/>
    </row>
    <row r="177" spans="1:15" ht="13.5" customHeight="1">
      <c r="A177" s="10" t="s">
        <v>30</v>
      </c>
      <c r="B177" s="8">
        <v>13005</v>
      </c>
      <c r="C177" s="8">
        <v>2144</v>
      </c>
      <c r="D177" s="8">
        <v>2991</v>
      </c>
      <c r="E177" s="8">
        <v>4059</v>
      </c>
      <c r="F177" s="8">
        <v>2095</v>
      </c>
      <c r="G177" s="8">
        <v>1023</v>
      </c>
      <c r="H177" s="8">
        <v>495</v>
      </c>
      <c r="I177" s="8">
        <v>198</v>
      </c>
      <c r="J177" s="42"/>
    </row>
    <row r="178" spans="1:15" ht="13.5" customHeight="1">
      <c r="A178" s="106" t="s">
        <v>44</v>
      </c>
      <c r="B178" s="36"/>
      <c r="C178" s="36"/>
      <c r="D178" s="36"/>
      <c r="E178" s="36"/>
      <c r="F178" s="36"/>
      <c r="G178" s="36"/>
      <c r="H178" s="36"/>
      <c r="I178" s="36"/>
      <c r="J178" s="172"/>
    </row>
    <row r="179" spans="1:15" ht="13.5" customHeight="1">
      <c r="A179" s="10" t="s">
        <v>45</v>
      </c>
      <c r="B179" s="8">
        <v>12243</v>
      </c>
      <c r="C179" s="42">
        <v>10402</v>
      </c>
      <c r="D179" s="42">
        <v>1645</v>
      </c>
      <c r="E179" s="42">
        <v>117</v>
      </c>
      <c r="F179" s="42">
        <v>39</v>
      </c>
      <c r="G179" s="42">
        <v>19</v>
      </c>
      <c r="H179" s="42">
        <v>15</v>
      </c>
      <c r="I179" s="42">
        <v>6</v>
      </c>
    </row>
    <row r="180" spans="1:15" ht="13.5" customHeight="1">
      <c r="A180" s="10" t="s">
        <v>46</v>
      </c>
      <c r="B180" s="8">
        <v>21731</v>
      </c>
      <c r="C180" s="42">
        <v>1209</v>
      </c>
      <c r="D180" s="42">
        <v>15358</v>
      </c>
      <c r="E180" s="42">
        <v>4764</v>
      </c>
      <c r="F180" s="42">
        <v>319</v>
      </c>
      <c r="G180" s="42">
        <v>55</v>
      </c>
      <c r="H180" s="42">
        <v>21</v>
      </c>
      <c r="I180" s="42">
        <v>5</v>
      </c>
    </row>
    <row r="181" spans="1:15" ht="13.5" customHeight="1">
      <c r="A181" s="10" t="s">
        <v>47</v>
      </c>
      <c r="B181" s="8">
        <v>25742</v>
      </c>
      <c r="C181" s="42">
        <v>18</v>
      </c>
      <c r="D181" s="42">
        <v>2085</v>
      </c>
      <c r="E181" s="42">
        <v>16561</v>
      </c>
      <c r="F181" s="42">
        <v>6161</v>
      </c>
      <c r="G181" s="42">
        <v>688</v>
      </c>
      <c r="H181" s="42">
        <v>200</v>
      </c>
      <c r="I181" s="42">
        <v>29</v>
      </c>
    </row>
    <row r="182" spans="1:15" ht="13.5" customHeight="1">
      <c r="A182" s="10" t="s">
        <v>48</v>
      </c>
      <c r="B182" s="8">
        <v>13092</v>
      </c>
      <c r="C182" s="42">
        <v>2</v>
      </c>
      <c r="D182" s="42">
        <v>34</v>
      </c>
      <c r="E182" s="42">
        <v>1509</v>
      </c>
      <c r="F182" s="42">
        <v>6182</v>
      </c>
      <c r="G182" s="42">
        <v>4064</v>
      </c>
      <c r="H182" s="42">
        <v>1139</v>
      </c>
      <c r="I182" s="42">
        <v>162</v>
      </c>
    </row>
    <row r="183" spans="1:15" ht="13.5" customHeight="1">
      <c r="A183" s="10" t="s">
        <v>49</v>
      </c>
      <c r="B183" s="8">
        <v>4725</v>
      </c>
      <c r="C183" s="42">
        <v>0</v>
      </c>
      <c r="D183" s="42">
        <v>4</v>
      </c>
      <c r="E183" s="42">
        <v>49</v>
      </c>
      <c r="F183" s="42">
        <v>416</v>
      </c>
      <c r="G183" s="42">
        <v>1622</v>
      </c>
      <c r="H183" s="42">
        <v>2074</v>
      </c>
      <c r="I183" s="42">
        <v>560</v>
      </c>
    </row>
    <row r="184" spans="1:15" ht="13.5" customHeight="1">
      <c r="A184" s="10" t="s">
        <v>98</v>
      </c>
      <c r="B184" s="8">
        <v>2592</v>
      </c>
      <c r="C184" s="8">
        <v>1</v>
      </c>
      <c r="D184" s="8">
        <v>0</v>
      </c>
      <c r="E184" s="8">
        <v>5</v>
      </c>
      <c r="F184" s="8">
        <v>25</v>
      </c>
      <c r="G184" s="8">
        <v>133</v>
      </c>
      <c r="H184" s="8">
        <v>913</v>
      </c>
      <c r="I184" s="8">
        <v>1515</v>
      </c>
      <c r="M184"/>
      <c r="N184"/>
      <c r="O184"/>
    </row>
    <row r="185" spans="1:15" ht="13.5" customHeight="1">
      <c r="A185" s="161"/>
      <c r="C185" s="161"/>
      <c r="D185" s="161"/>
      <c r="E185" s="161"/>
      <c r="F185" s="161"/>
      <c r="G185" s="161"/>
      <c r="H185" s="161"/>
      <c r="J185"/>
      <c r="M185"/>
      <c r="N185"/>
      <c r="O185"/>
    </row>
    <row r="186" spans="1:15" ht="13.5" customHeight="1">
      <c r="A186" s="9" t="s">
        <v>84</v>
      </c>
      <c r="B186" s="161"/>
      <c r="C186" s="161"/>
      <c r="D186" s="161"/>
      <c r="E186" s="161"/>
      <c r="F186" s="161"/>
      <c r="G186" s="8"/>
      <c r="H186" s="8"/>
      <c r="J186"/>
      <c r="K186"/>
      <c r="L186"/>
    </row>
    <row r="187" spans="1:15" ht="13.5" customHeight="1">
      <c r="A187" s="10"/>
      <c r="B187" s="8"/>
      <c r="C187" s="42"/>
      <c r="D187" s="42"/>
      <c r="E187" s="42"/>
      <c r="F187" s="42"/>
      <c r="G187" s="42"/>
      <c r="H187" s="42"/>
      <c r="I187" s="42"/>
      <c r="K187"/>
      <c r="L187"/>
    </row>
    <row r="188" spans="1:15" ht="13.5" customHeight="1">
      <c r="A188" s="46" t="s">
        <v>113</v>
      </c>
      <c r="B188" s="8"/>
      <c r="C188" s="42"/>
      <c r="D188" s="42"/>
      <c r="E188" s="42"/>
      <c r="F188" s="42"/>
      <c r="G188" s="42"/>
      <c r="H188" s="42"/>
      <c r="I188" s="42"/>
    </row>
    <row r="189" spans="1:15" ht="13.5" customHeight="1">
      <c r="A189" s="46"/>
      <c r="B189" s="8"/>
      <c r="C189" s="42"/>
      <c r="D189" s="42"/>
      <c r="E189" s="42"/>
      <c r="F189" s="42"/>
      <c r="G189" s="42"/>
      <c r="H189" s="42"/>
      <c r="I189" s="42"/>
    </row>
    <row r="190" spans="1:15" ht="13.5" customHeight="1">
      <c r="A190" s="46"/>
      <c r="B190" s="8"/>
      <c r="C190" s="42"/>
      <c r="D190" s="42"/>
      <c r="E190" s="42"/>
      <c r="F190" s="42"/>
      <c r="G190" s="42"/>
      <c r="H190" s="42"/>
      <c r="I190" s="42"/>
    </row>
    <row r="191" spans="1:15" ht="13.5" customHeight="1">
      <c r="A191" s="86" t="s">
        <v>130</v>
      </c>
      <c r="B191" s="87"/>
      <c r="C191" s="87"/>
      <c r="D191" s="87"/>
      <c r="E191" s="87"/>
      <c r="F191" s="159"/>
      <c r="G191" s="87"/>
      <c r="H191" s="53"/>
      <c r="I191" s="89"/>
    </row>
    <row r="192" spans="1:15" ht="13.5" customHeight="1">
      <c r="A192" s="58" t="s">
        <v>1</v>
      </c>
      <c r="B192" s="58"/>
      <c r="C192" s="58"/>
      <c r="D192" s="58"/>
      <c r="E192" s="58"/>
      <c r="F192" s="58"/>
      <c r="G192" s="58"/>
      <c r="H192" s="160"/>
      <c r="I192" s="62"/>
    </row>
    <row r="193" spans="1:13" ht="13.5" customHeight="1">
      <c r="A193" s="58"/>
      <c r="B193" s="58"/>
      <c r="C193" s="42"/>
      <c r="D193" s="42"/>
      <c r="E193" s="42"/>
      <c r="F193" s="42"/>
      <c r="G193" s="42"/>
      <c r="H193" s="42"/>
      <c r="I193" s="42"/>
    </row>
    <row r="194" spans="1:13" s="7" customFormat="1" ht="13.5" customHeight="1">
      <c r="A194" s="114"/>
      <c r="B194" s="114"/>
      <c r="C194" s="116"/>
      <c r="D194" s="116"/>
      <c r="E194" s="116"/>
      <c r="F194" s="116"/>
      <c r="G194" s="116"/>
      <c r="H194" s="116"/>
      <c r="I194" s="117" t="s">
        <v>73</v>
      </c>
      <c r="J194" s="12"/>
      <c r="K194" s="170" t="s">
        <v>126</v>
      </c>
      <c r="L194" s="12"/>
      <c r="M194" s="12"/>
    </row>
    <row r="195" spans="1:13" ht="13.5" customHeight="1">
      <c r="A195" s="153"/>
      <c r="B195" s="152" t="s">
        <v>2</v>
      </c>
      <c r="C195" s="152" t="s">
        <v>99</v>
      </c>
      <c r="D195" s="154" t="s">
        <v>67</v>
      </c>
      <c r="E195" s="154" t="s">
        <v>68</v>
      </c>
      <c r="F195" s="154" t="s">
        <v>69</v>
      </c>
      <c r="G195" s="154" t="s">
        <v>70</v>
      </c>
      <c r="H195" s="154" t="s">
        <v>71</v>
      </c>
      <c r="I195" s="154" t="s">
        <v>72</v>
      </c>
    </row>
    <row r="196" spans="1:13" ht="13.5" customHeight="1">
      <c r="A196" s="37" t="s">
        <v>2</v>
      </c>
      <c r="B196" s="36">
        <v>79524</v>
      </c>
      <c r="C196" s="105">
        <v>11414</v>
      </c>
      <c r="D196" s="105">
        <v>18993</v>
      </c>
      <c r="E196" s="105">
        <v>22870</v>
      </c>
      <c r="F196" s="105">
        <v>13052</v>
      </c>
      <c r="G196" s="105">
        <v>6571</v>
      </c>
      <c r="H196" s="105">
        <v>4354</v>
      </c>
      <c r="I196" s="105">
        <v>2270</v>
      </c>
    </row>
    <row r="197" spans="1:13" s="35" customFormat="1" ht="13.5" customHeight="1">
      <c r="A197" s="37" t="s">
        <v>5</v>
      </c>
      <c r="B197" s="36"/>
      <c r="C197" s="36"/>
      <c r="D197" s="36"/>
      <c r="E197" s="36"/>
      <c r="F197" s="36"/>
      <c r="G197" s="36"/>
      <c r="H197" s="36"/>
      <c r="I197" s="36"/>
      <c r="J197" s="12"/>
      <c r="K197" s="12"/>
      <c r="L197" s="12"/>
      <c r="M197" s="12"/>
    </row>
    <row r="198" spans="1:13" ht="13.5" customHeight="1">
      <c r="A198" s="9" t="s">
        <v>6</v>
      </c>
      <c r="B198" s="8">
        <v>2173</v>
      </c>
      <c r="C198" s="8">
        <v>17</v>
      </c>
      <c r="D198" s="8">
        <v>37</v>
      </c>
      <c r="E198" s="8">
        <v>151</v>
      </c>
      <c r="F198" s="8">
        <v>210</v>
      </c>
      <c r="G198" s="8">
        <v>262</v>
      </c>
      <c r="H198" s="8">
        <v>710</v>
      </c>
      <c r="I198" s="8">
        <v>786</v>
      </c>
      <c r="J198" s="172"/>
    </row>
    <row r="199" spans="1:13" ht="13.5" customHeight="1">
      <c r="A199" s="9" t="s">
        <v>7</v>
      </c>
      <c r="B199" s="8">
        <v>47356</v>
      </c>
      <c r="C199" s="8">
        <v>5814</v>
      </c>
      <c r="D199" s="8">
        <v>11937</v>
      </c>
      <c r="E199" s="8">
        <v>14491</v>
      </c>
      <c r="F199" s="8">
        <v>7977</v>
      </c>
      <c r="G199" s="8">
        <v>4043</v>
      </c>
      <c r="H199" s="8">
        <v>2183</v>
      </c>
      <c r="I199" s="8">
        <v>911</v>
      </c>
      <c r="J199" s="172"/>
    </row>
    <row r="200" spans="1:13" ht="13.5" customHeight="1">
      <c r="A200" s="10" t="s">
        <v>8</v>
      </c>
      <c r="B200" s="8">
        <v>28858</v>
      </c>
      <c r="C200" s="8">
        <v>5218</v>
      </c>
      <c r="D200" s="8">
        <v>6894</v>
      </c>
      <c r="E200" s="8">
        <v>8054</v>
      </c>
      <c r="F200" s="8">
        <v>4697</v>
      </c>
      <c r="G200" s="8">
        <v>2152</v>
      </c>
      <c r="H200" s="8">
        <v>1331</v>
      </c>
      <c r="I200" s="8">
        <v>512</v>
      </c>
      <c r="J200" s="172"/>
    </row>
    <row r="201" spans="1:13" ht="13.5" customHeight="1">
      <c r="A201" s="10" t="s">
        <v>65</v>
      </c>
      <c r="B201" s="8">
        <v>1137</v>
      </c>
      <c r="C201" s="8">
        <v>365</v>
      </c>
      <c r="D201" s="8">
        <v>125</v>
      </c>
      <c r="E201" s="8">
        <v>174</v>
      </c>
      <c r="F201" s="8">
        <v>168</v>
      </c>
      <c r="G201" s="8">
        <v>114</v>
      </c>
      <c r="H201" s="8">
        <v>130</v>
      </c>
      <c r="I201" s="8">
        <v>61</v>
      </c>
      <c r="J201" s="172"/>
    </row>
    <row r="202" spans="1:13" ht="13.5" customHeight="1">
      <c r="A202" s="106" t="s">
        <v>39</v>
      </c>
      <c r="B202" s="36"/>
      <c r="C202" s="36"/>
      <c r="D202" s="36"/>
      <c r="E202" s="36"/>
      <c r="F202" s="36"/>
      <c r="G202" s="36"/>
      <c r="H202" s="36"/>
      <c r="I202" s="36"/>
      <c r="J202" s="172"/>
    </row>
    <row r="203" spans="1:13" ht="13.5" customHeight="1">
      <c r="A203" s="9" t="s">
        <v>10</v>
      </c>
      <c r="B203" s="8">
        <v>12676</v>
      </c>
      <c r="C203" s="8">
        <v>1539</v>
      </c>
      <c r="D203" s="8">
        <v>2454</v>
      </c>
      <c r="E203" s="8">
        <v>3322</v>
      </c>
      <c r="F203" s="8">
        <v>2089</v>
      </c>
      <c r="G203" s="8">
        <v>1275</v>
      </c>
      <c r="H203" s="8">
        <v>1232</v>
      </c>
      <c r="I203" s="8">
        <v>765</v>
      </c>
      <c r="J203" s="172"/>
    </row>
    <row r="204" spans="1:13" ht="13.5" customHeight="1">
      <c r="A204" s="9" t="s">
        <v>11</v>
      </c>
      <c r="B204" s="8">
        <v>14667</v>
      </c>
      <c r="C204" s="8">
        <v>1497</v>
      </c>
      <c r="D204" s="8">
        <v>3864</v>
      </c>
      <c r="E204" s="8">
        <v>4792</v>
      </c>
      <c r="F204" s="8">
        <v>2388</v>
      </c>
      <c r="G204" s="8">
        <v>941</v>
      </c>
      <c r="H204" s="8">
        <v>799</v>
      </c>
      <c r="I204" s="8">
        <v>386</v>
      </c>
      <c r="J204" s="172"/>
    </row>
    <row r="205" spans="1:13" ht="13.5" customHeight="1">
      <c r="A205" s="9" t="s">
        <v>12</v>
      </c>
      <c r="B205" s="8">
        <v>17787</v>
      </c>
      <c r="C205" s="8">
        <v>2726</v>
      </c>
      <c r="D205" s="8">
        <v>6274</v>
      </c>
      <c r="E205" s="8">
        <v>5917</v>
      </c>
      <c r="F205" s="8">
        <v>1732</v>
      </c>
      <c r="G205" s="8">
        <v>592</v>
      </c>
      <c r="H205" s="8">
        <v>339</v>
      </c>
      <c r="I205" s="8">
        <v>207</v>
      </c>
      <c r="J205" s="172"/>
    </row>
    <row r="206" spans="1:13" ht="13.5" customHeight="1">
      <c r="A206" s="9" t="s">
        <v>13</v>
      </c>
      <c r="B206" s="8">
        <v>13939</v>
      </c>
      <c r="C206" s="8">
        <v>3439</v>
      </c>
      <c r="D206" s="8">
        <v>3171</v>
      </c>
      <c r="E206" s="8">
        <v>4283</v>
      </c>
      <c r="F206" s="8">
        <v>1776</v>
      </c>
      <c r="G206" s="8">
        <v>634</v>
      </c>
      <c r="H206" s="8">
        <v>426</v>
      </c>
      <c r="I206" s="8">
        <v>210</v>
      </c>
      <c r="J206" s="172"/>
    </row>
    <row r="207" spans="1:13" ht="13.5" customHeight="1">
      <c r="A207" s="9" t="s">
        <v>14</v>
      </c>
      <c r="B207" s="8">
        <v>5880</v>
      </c>
      <c r="C207" s="8">
        <v>1150</v>
      </c>
      <c r="D207" s="8">
        <v>908</v>
      </c>
      <c r="E207" s="8">
        <v>1436</v>
      </c>
      <c r="F207" s="8">
        <v>1333</v>
      </c>
      <c r="G207" s="8">
        <v>563</v>
      </c>
      <c r="H207" s="8">
        <v>313</v>
      </c>
      <c r="I207" s="8">
        <v>177</v>
      </c>
      <c r="J207" s="172"/>
    </row>
    <row r="208" spans="1:13" ht="13.5" customHeight="1">
      <c r="A208" s="9" t="s">
        <v>15</v>
      </c>
      <c r="B208" s="8">
        <v>1829</v>
      </c>
      <c r="C208" s="8">
        <v>47</v>
      </c>
      <c r="D208" s="8">
        <v>248</v>
      </c>
      <c r="E208" s="8">
        <v>424</v>
      </c>
      <c r="F208" s="8">
        <v>496</v>
      </c>
      <c r="G208" s="8">
        <v>398</v>
      </c>
      <c r="H208" s="8">
        <v>146</v>
      </c>
      <c r="I208" s="8">
        <v>70</v>
      </c>
      <c r="J208" s="172"/>
    </row>
    <row r="209" spans="1:10" ht="13.5" customHeight="1">
      <c r="A209" s="9" t="s">
        <v>16</v>
      </c>
      <c r="B209" s="8">
        <v>1764</v>
      </c>
      <c r="C209" s="8">
        <v>107</v>
      </c>
      <c r="D209" s="8">
        <v>258</v>
      </c>
      <c r="E209" s="8">
        <v>287</v>
      </c>
      <c r="F209" s="8">
        <v>436</v>
      </c>
      <c r="G209" s="8">
        <v>396</v>
      </c>
      <c r="H209" s="8">
        <v>191</v>
      </c>
      <c r="I209" s="8">
        <v>89</v>
      </c>
      <c r="J209" s="172"/>
    </row>
    <row r="210" spans="1:10" ht="13.5" customHeight="1">
      <c r="A210" s="9" t="s">
        <v>17</v>
      </c>
      <c r="B210" s="8">
        <v>1018</v>
      </c>
      <c r="C210" s="8">
        <v>173</v>
      </c>
      <c r="D210" s="8">
        <v>190</v>
      </c>
      <c r="E210" s="8">
        <v>188</v>
      </c>
      <c r="F210" s="8">
        <v>225</v>
      </c>
      <c r="G210" s="8">
        <v>94</v>
      </c>
      <c r="H210" s="8">
        <v>84</v>
      </c>
      <c r="I210" s="8">
        <v>64</v>
      </c>
      <c r="J210" s="172"/>
    </row>
    <row r="211" spans="1:10" ht="13.5" customHeight="1">
      <c r="A211" s="9" t="s">
        <v>18</v>
      </c>
      <c r="B211" s="8">
        <v>995</v>
      </c>
      <c r="C211" s="8">
        <v>22</v>
      </c>
      <c r="D211" s="8">
        <v>105</v>
      </c>
      <c r="E211" s="8">
        <v>244</v>
      </c>
      <c r="F211" s="8">
        <v>242</v>
      </c>
      <c r="G211" s="8">
        <v>210</v>
      </c>
      <c r="H211" s="8">
        <v>114</v>
      </c>
      <c r="I211" s="8">
        <v>58</v>
      </c>
      <c r="J211" s="172"/>
    </row>
    <row r="212" spans="1:10" ht="13.5" customHeight="1">
      <c r="A212" s="9" t="s">
        <v>19</v>
      </c>
      <c r="B212" s="8">
        <v>999</v>
      </c>
      <c r="C212" s="8">
        <v>26</v>
      </c>
      <c r="D212" s="8">
        <v>75</v>
      </c>
      <c r="E212" s="8">
        <v>123</v>
      </c>
      <c r="F212" s="8">
        <v>281</v>
      </c>
      <c r="G212" s="8">
        <v>308</v>
      </c>
      <c r="H212" s="8">
        <v>119</v>
      </c>
      <c r="I212" s="8">
        <v>67</v>
      </c>
      <c r="J212" s="172"/>
    </row>
    <row r="213" spans="1:10" ht="13.5" customHeight="1">
      <c r="A213" s="9" t="s">
        <v>20</v>
      </c>
      <c r="B213" s="8">
        <v>2226</v>
      </c>
      <c r="C213" s="8">
        <v>100</v>
      </c>
      <c r="D213" s="8">
        <v>251</v>
      </c>
      <c r="E213" s="8">
        <v>421</v>
      </c>
      <c r="F213" s="8">
        <v>611</v>
      </c>
      <c r="G213" s="8">
        <v>481</v>
      </c>
      <c r="H213" s="8">
        <v>278</v>
      </c>
      <c r="I213" s="8">
        <v>84</v>
      </c>
      <c r="J213" s="172"/>
    </row>
    <row r="214" spans="1:10" ht="13.5" customHeight="1">
      <c r="A214" s="9" t="s">
        <v>21</v>
      </c>
      <c r="B214" s="8">
        <v>2308</v>
      </c>
      <c r="C214" s="8">
        <v>252</v>
      </c>
      <c r="D214" s="8">
        <v>370</v>
      </c>
      <c r="E214" s="8">
        <v>456</v>
      </c>
      <c r="F214" s="8">
        <v>612</v>
      </c>
      <c r="G214" s="8">
        <v>342</v>
      </c>
      <c r="H214" s="8">
        <v>212</v>
      </c>
      <c r="I214" s="8">
        <v>64</v>
      </c>
      <c r="J214" s="172"/>
    </row>
    <row r="215" spans="1:10" ht="13.5" customHeight="1">
      <c r="A215" s="9" t="s">
        <v>112</v>
      </c>
      <c r="B215" s="8">
        <v>3436</v>
      </c>
      <c r="C215" s="8">
        <v>336</v>
      </c>
      <c r="D215" s="8">
        <v>825</v>
      </c>
      <c r="E215" s="8">
        <v>977</v>
      </c>
      <c r="F215" s="8">
        <v>831</v>
      </c>
      <c r="G215" s="8">
        <v>337</v>
      </c>
      <c r="H215" s="8">
        <v>101</v>
      </c>
      <c r="I215" s="8">
        <v>29</v>
      </c>
      <c r="J215" s="172"/>
    </row>
    <row r="216" spans="1:10" ht="13.5" customHeight="1">
      <c r="A216" s="106" t="s">
        <v>40</v>
      </c>
      <c r="B216" s="36"/>
      <c r="C216" s="36"/>
      <c r="D216" s="36"/>
      <c r="E216" s="36"/>
      <c r="F216" s="36"/>
      <c r="G216" s="36"/>
      <c r="H216" s="36"/>
      <c r="I216" s="36"/>
      <c r="J216" s="172"/>
    </row>
    <row r="217" spans="1:10" ht="13.5" customHeight="1">
      <c r="A217" s="9" t="s">
        <v>23</v>
      </c>
      <c r="B217" s="8">
        <v>161</v>
      </c>
      <c r="C217" s="8">
        <v>63</v>
      </c>
      <c r="D217" s="8">
        <v>17</v>
      </c>
      <c r="E217" s="8">
        <v>25</v>
      </c>
      <c r="F217" s="8">
        <v>16</v>
      </c>
      <c r="G217" s="8">
        <v>12</v>
      </c>
      <c r="H217" s="8">
        <v>16</v>
      </c>
      <c r="I217" s="8">
        <v>12</v>
      </c>
      <c r="J217" s="42"/>
    </row>
    <row r="218" spans="1:10" ht="13.5" customHeight="1">
      <c r="A218" s="9" t="s">
        <v>24</v>
      </c>
      <c r="B218" s="8">
        <v>1943</v>
      </c>
      <c r="C218" s="8">
        <v>249</v>
      </c>
      <c r="D218" s="8">
        <v>112</v>
      </c>
      <c r="E218" s="8">
        <v>243</v>
      </c>
      <c r="F218" s="8">
        <v>275</v>
      </c>
      <c r="G218" s="8">
        <v>302</v>
      </c>
      <c r="H218" s="8">
        <v>437</v>
      </c>
      <c r="I218" s="8">
        <v>325</v>
      </c>
      <c r="J218" s="42"/>
    </row>
    <row r="219" spans="1:10" ht="13.5" customHeight="1">
      <c r="A219" s="9" t="s">
        <v>25</v>
      </c>
      <c r="B219" s="8">
        <v>4905</v>
      </c>
      <c r="C219" s="8">
        <v>327</v>
      </c>
      <c r="D219" s="8">
        <v>680</v>
      </c>
      <c r="E219" s="8">
        <v>867</v>
      </c>
      <c r="F219" s="8">
        <v>900</v>
      </c>
      <c r="G219" s="8">
        <v>658</v>
      </c>
      <c r="H219" s="8">
        <v>770</v>
      </c>
      <c r="I219" s="8">
        <v>703</v>
      </c>
      <c r="J219" s="42"/>
    </row>
    <row r="220" spans="1:10" ht="13.5" customHeight="1">
      <c r="A220" s="9" t="s">
        <v>26</v>
      </c>
      <c r="B220" s="8">
        <v>11527</v>
      </c>
      <c r="C220" s="8">
        <v>1325</v>
      </c>
      <c r="D220" s="8">
        <v>2950</v>
      </c>
      <c r="E220" s="8">
        <v>3639</v>
      </c>
      <c r="F220" s="8">
        <v>1881</v>
      </c>
      <c r="G220" s="8">
        <v>868</v>
      </c>
      <c r="H220" s="8">
        <v>626</v>
      </c>
      <c r="I220" s="8">
        <v>238</v>
      </c>
      <c r="J220" s="42"/>
    </row>
    <row r="221" spans="1:10" ht="13.5" customHeight="1">
      <c r="A221" s="9" t="s">
        <v>27</v>
      </c>
      <c r="B221" s="8">
        <v>19876</v>
      </c>
      <c r="C221" s="8">
        <v>2510</v>
      </c>
      <c r="D221" s="8">
        <v>5370</v>
      </c>
      <c r="E221" s="8">
        <v>6065</v>
      </c>
      <c r="F221" s="8">
        <v>3293</v>
      </c>
      <c r="G221" s="8">
        <v>1476</v>
      </c>
      <c r="H221" s="8">
        <v>878</v>
      </c>
      <c r="I221" s="8">
        <v>284</v>
      </c>
      <c r="J221" s="42"/>
    </row>
    <row r="222" spans="1:10" ht="13.5" customHeight="1">
      <c r="A222" s="9" t="s">
        <v>28</v>
      </c>
      <c r="B222" s="8">
        <v>16162</v>
      </c>
      <c r="C222" s="8">
        <v>2804</v>
      </c>
      <c r="D222" s="8">
        <v>4157</v>
      </c>
      <c r="E222" s="8">
        <v>4612</v>
      </c>
      <c r="F222" s="8">
        <v>2511</v>
      </c>
      <c r="G222" s="8">
        <v>1164</v>
      </c>
      <c r="H222" s="8">
        <v>620</v>
      </c>
      <c r="I222" s="8">
        <v>294</v>
      </c>
      <c r="J222" s="42"/>
    </row>
    <row r="223" spans="1:10" ht="13.5" customHeight="1">
      <c r="A223" s="9" t="s">
        <v>29</v>
      </c>
      <c r="B223" s="8">
        <v>12209</v>
      </c>
      <c r="C223" s="8">
        <v>2126</v>
      </c>
      <c r="D223" s="8">
        <v>2792</v>
      </c>
      <c r="E223" s="8">
        <v>3390</v>
      </c>
      <c r="F223" s="8">
        <v>2113</v>
      </c>
      <c r="G223" s="8">
        <v>1067</v>
      </c>
      <c r="H223" s="8">
        <v>506</v>
      </c>
      <c r="I223" s="8">
        <v>215</v>
      </c>
      <c r="J223" s="42"/>
    </row>
    <row r="224" spans="1:10" ht="13.5" customHeight="1">
      <c r="A224" s="10" t="s">
        <v>30</v>
      </c>
      <c r="B224" s="8">
        <v>12741</v>
      </c>
      <c r="C224" s="8">
        <v>2010</v>
      </c>
      <c r="D224" s="8">
        <v>2915</v>
      </c>
      <c r="E224" s="8">
        <v>4029</v>
      </c>
      <c r="F224" s="8">
        <v>2063</v>
      </c>
      <c r="G224" s="8">
        <v>1024</v>
      </c>
      <c r="H224" s="8">
        <v>501</v>
      </c>
      <c r="I224" s="8">
        <v>199</v>
      </c>
      <c r="J224" s="42"/>
    </row>
    <row r="225" spans="1:15" ht="13.5" customHeight="1">
      <c r="A225" s="106" t="s">
        <v>44</v>
      </c>
      <c r="B225" s="36">
        <v>79524</v>
      </c>
      <c r="C225" s="36"/>
      <c r="D225" s="36"/>
      <c r="E225" s="36"/>
      <c r="F225" s="36"/>
      <c r="G225" s="36"/>
      <c r="H225" s="36"/>
      <c r="I225" s="36"/>
      <c r="J225" s="172"/>
    </row>
    <row r="226" spans="1:15" ht="13.5" customHeight="1">
      <c r="A226" s="10" t="s">
        <v>45</v>
      </c>
      <c r="B226" s="8">
        <v>11988</v>
      </c>
      <c r="C226" s="42">
        <v>10188</v>
      </c>
      <c r="D226" s="42">
        <v>1615</v>
      </c>
      <c r="E226" s="42">
        <v>109</v>
      </c>
      <c r="F226" s="42">
        <v>38</v>
      </c>
      <c r="G226" s="42">
        <v>17</v>
      </c>
      <c r="H226" s="42">
        <v>14</v>
      </c>
      <c r="I226" s="42">
        <v>7</v>
      </c>
    </row>
    <row r="227" spans="1:15" ht="13.5" customHeight="1">
      <c r="A227" s="10" t="s">
        <v>46</v>
      </c>
      <c r="B227" s="8">
        <v>21569</v>
      </c>
      <c r="C227" s="42">
        <v>1205</v>
      </c>
      <c r="D227" s="42">
        <v>15252</v>
      </c>
      <c r="E227" s="42">
        <v>4716</v>
      </c>
      <c r="F227" s="42">
        <v>314</v>
      </c>
      <c r="G227" s="42">
        <v>56</v>
      </c>
      <c r="H227" s="42">
        <v>21</v>
      </c>
      <c r="I227" s="42">
        <v>5</v>
      </c>
    </row>
    <row r="228" spans="1:15" ht="13.5" customHeight="1">
      <c r="A228" s="10" t="s">
        <v>47</v>
      </c>
      <c r="B228" s="8">
        <v>25644</v>
      </c>
      <c r="C228" s="42">
        <v>19</v>
      </c>
      <c r="D228" s="42">
        <v>2085</v>
      </c>
      <c r="E228" s="42">
        <v>16489</v>
      </c>
      <c r="F228" s="42">
        <v>6137</v>
      </c>
      <c r="G228" s="42">
        <v>686</v>
      </c>
      <c r="H228" s="42">
        <v>200</v>
      </c>
      <c r="I228" s="42">
        <v>28</v>
      </c>
    </row>
    <row r="229" spans="1:15" ht="13.5" customHeight="1">
      <c r="A229" s="10" t="s">
        <v>48</v>
      </c>
      <c r="B229" s="8">
        <v>13013</v>
      </c>
      <c r="C229" s="42">
        <v>2</v>
      </c>
      <c r="D229" s="42">
        <v>36</v>
      </c>
      <c r="E229" s="42">
        <v>1501</v>
      </c>
      <c r="F229" s="42">
        <v>6116</v>
      </c>
      <c r="G229" s="42">
        <v>4058</v>
      </c>
      <c r="H229" s="42">
        <v>1140</v>
      </c>
      <c r="I229" s="42">
        <v>160</v>
      </c>
    </row>
    <row r="230" spans="1:15" ht="13.5" customHeight="1">
      <c r="A230" s="10" t="s">
        <v>49</v>
      </c>
      <c r="B230" s="8">
        <v>4722</v>
      </c>
      <c r="C230" s="42">
        <v>0</v>
      </c>
      <c r="D230" s="42">
        <v>4</v>
      </c>
      <c r="E230" s="42">
        <v>50</v>
      </c>
      <c r="F230" s="42">
        <v>419</v>
      </c>
      <c r="G230" s="42">
        <v>1619</v>
      </c>
      <c r="H230" s="42">
        <v>2072</v>
      </c>
      <c r="I230" s="42">
        <v>558</v>
      </c>
    </row>
    <row r="231" spans="1:15" ht="13.5" customHeight="1">
      <c r="A231" s="10" t="s">
        <v>98</v>
      </c>
      <c r="B231" s="8">
        <v>2588</v>
      </c>
      <c r="C231" s="8">
        <v>0</v>
      </c>
      <c r="D231" s="8">
        <v>1</v>
      </c>
      <c r="E231" s="8">
        <v>5</v>
      </c>
      <c r="F231" s="8">
        <v>28</v>
      </c>
      <c r="G231" s="8">
        <v>135</v>
      </c>
      <c r="H231" s="8">
        <v>907</v>
      </c>
      <c r="I231" s="8">
        <v>1512</v>
      </c>
      <c r="M231"/>
      <c r="N231"/>
      <c r="O231"/>
    </row>
    <row r="232" spans="1:15" ht="13.5" customHeight="1">
      <c r="A232" s="161"/>
      <c r="C232" s="161"/>
      <c r="D232" s="161"/>
      <c r="E232" s="161"/>
      <c r="F232" s="161"/>
      <c r="G232" s="161"/>
      <c r="H232" s="161"/>
      <c r="J232"/>
      <c r="K232"/>
      <c r="M232"/>
      <c r="N232"/>
      <c r="O232"/>
    </row>
    <row r="233" spans="1:15" ht="13.5" customHeight="1">
      <c r="A233" s="9" t="s">
        <v>84</v>
      </c>
      <c r="B233" s="161"/>
      <c r="C233" s="161"/>
      <c r="D233" s="161"/>
      <c r="E233" s="161"/>
      <c r="F233" s="161"/>
      <c r="G233" s="8"/>
      <c r="H233" s="8"/>
      <c r="J233"/>
      <c r="K233"/>
      <c r="L233"/>
    </row>
    <row r="234" spans="1:15" ht="13.5" customHeight="1">
      <c r="A234" s="10"/>
      <c r="B234" s="8"/>
      <c r="C234" s="42"/>
      <c r="D234" s="42"/>
      <c r="E234" s="42"/>
      <c r="F234" s="42"/>
      <c r="G234" s="42"/>
      <c r="H234" s="42"/>
      <c r="I234" s="42"/>
      <c r="L234"/>
    </row>
    <row r="235" spans="1:15" ht="13.5" customHeight="1">
      <c r="A235" s="46" t="s">
        <v>113</v>
      </c>
      <c r="B235" s="8"/>
      <c r="C235" s="42"/>
      <c r="D235" s="42"/>
      <c r="E235" s="42"/>
      <c r="F235" s="42"/>
      <c r="G235" s="42"/>
      <c r="H235" s="42"/>
      <c r="I235" s="42"/>
    </row>
    <row r="236" spans="1:15" ht="13.5" customHeight="1">
      <c r="A236" s="46"/>
      <c r="B236" s="8"/>
      <c r="C236" s="42"/>
      <c r="D236" s="42"/>
      <c r="E236" s="42"/>
      <c r="F236" s="42"/>
      <c r="G236" s="42"/>
      <c r="H236" s="42"/>
      <c r="I236" s="42"/>
    </row>
    <row r="237" spans="1:15" ht="13.5" customHeight="1">
      <c r="A237" s="46"/>
      <c r="B237" s="8"/>
      <c r="C237" s="42"/>
      <c r="D237" s="42"/>
      <c r="E237" s="42"/>
      <c r="F237" s="42"/>
      <c r="G237" s="42"/>
      <c r="H237" s="42"/>
      <c r="I237" s="42"/>
    </row>
    <row r="238" spans="1:15" ht="13.5" customHeight="1">
      <c r="A238" s="86" t="s">
        <v>128</v>
      </c>
      <c r="B238" s="87"/>
      <c r="C238" s="87"/>
      <c r="D238" s="87"/>
      <c r="E238" s="87"/>
      <c r="F238" s="159"/>
      <c r="G238" s="87"/>
      <c r="H238" s="53"/>
      <c r="I238" s="89"/>
    </row>
    <row r="239" spans="1:15" ht="13.5" customHeight="1">
      <c r="A239" s="58" t="s">
        <v>1</v>
      </c>
      <c r="B239" s="58"/>
      <c r="C239" s="58"/>
      <c r="D239" s="58"/>
      <c r="E239" s="58"/>
      <c r="F239" s="58"/>
      <c r="G239" s="58"/>
      <c r="H239" s="160"/>
      <c r="I239" s="62"/>
    </row>
    <row r="240" spans="1:15" s="7" customFormat="1" ht="13.5" customHeight="1">
      <c r="A240" s="58"/>
      <c r="B240" s="58"/>
      <c r="C240" s="42"/>
      <c r="D240" s="42"/>
      <c r="E240" s="42"/>
      <c r="F240" s="42"/>
      <c r="G240" s="42"/>
      <c r="H240" s="42"/>
      <c r="I240" s="42"/>
      <c r="J240" s="12"/>
      <c r="K240" s="12"/>
      <c r="L240" s="12"/>
      <c r="M240" s="12"/>
    </row>
    <row r="241" spans="1:13" ht="13.5" customHeight="1">
      <c r="A241" s="114"/>
      <c r="B241" s="114"/>
      <c r="C241" s="116"/>
      <c r="D241" s="116"/>
      <c r="E241" s="116"/>
      <c r="F241" s="116"/>
      <c r="G241" s="116"/>
      <c r="H241" s="116"/>
      <c r="I241" s="117" t="s">
        <v>73</v>
      </c>
      <c r="K241" s="170" t="s">
        <v>126</v>
      </c>
      <c r="M241" s="7"/>
    </row>
    <row r="242" spans="1:13" ht="13.5" customHeight="1">
      <c r="A242" s="153"/>
      <c r="B242" s="152" t="s">
        <v>2</v>
      </c>
      <c r="C242" s="152" t="s">
        <v>99</v>
      </c>
      <c r="D242" s="154" t="s">
        <v>67</v>
      </c>
      <c r="E242" s="154" t="s">
        <v>68</v>
      </c>
      <c r="F242" s="154" t="s">
        <v>69</v>
      </c>
      <c r="G242" s="154" t="s">
        <v>70</v>
      </c>
      <c r="H242" s="154" t="s">
        <v>71</v>
      </c>
      <c r="I242" s="154" t="s">
        <v>72</v>
      </c>
      <c r="J242" s="161"/>
    </row>
    <row r="243" spans="1:13" ht="13.5" customHeight="1">
      <c r="A243" s="37" t="s">
        <v>2</v>
      </c>
      <c r="B243" s="36">
        <v>79082</v>
      </c>
      <c r="C243" s="36">
        <v>11399</v>
      </c>
      <c r="D243" s="36">
        <v>18938</v>
      </c>
      <c r="E243" s="36">
        <v>22739</v>
      </c>
      <c r="F243" s="36">
        <v>12856</v>
      </c>
      <c r="G243" s="36">
        <v>6533</v>
      </c>
      <c r="H243" s="36">
        <v>4343</v>
      </c>
      <c r="I243" s="36">
        <v>2274</v>
      </c>
      <c r="J243" s="161"/>
    </row>
    <row r="244" spans="1:13" ht="13.5" customHeight="1">
      <c r="A244" s="37" t="s">
        <v>5</v>
      </c>
      <c r="B244" s="36"/>
      <c r="C244" s="36"/>
      <c r="D244" s="36"/>
      <c r="E244" s="36"/>
      <c r="F244" s="36"/>
      <c r="G244" s="36"/>
      <c r="H244" s="36"/>
      <c r="I244" s="36"/>
      <c r="J244" s="161"/>
      <c r="M244" s="35"/>
    </row>
    <row r="245" spans="1:13" ht="13.5" customHeight="1">
      <c r="A245" s="9" t="s">
        <v>6</v>
      </c>
      <c r="B245" s="8">
        <v>2186</v>
      </c>
      <c r="C245" s="8">
        <v>17</v>
      </c>
      <c r="D245" s="8">
        <v>37</v>
      </c>
      <c r="E245" s="8">
        <v>153</v>
      </c>
      <c r="F245" s="8">
        <v>211</v>
      </c>
      <c r="G245" s="8">
        <v>263</v>
      </c>
      <c r="H245" s="8">
        <v>711</v>
      </c>
      <c r="I245" s="8">
        <v>794</v>
      </c>
      <c r="J245" s="161"/>
    </row>
    <row r="246" spans="1:13" ht="13.5" customHeight="1">
      <c r="A246" s="9" t="s">
        <v>7</v>
      </c>
      <c r="B246" s="8">
        <v>47167</v>
      </c>
      <c r="C246" s="8">
        <v>5850</v>
      </c>
      <c r="D246" s="8">
        <v>11926</v>
      </c>
      <c r="E246" s="8">
        <v>14424</v>
      </c>
      <c r="F246" s="8">
        <v>7888</v>
      </c>
      <c r="G246" s="8">
        <v>4016</v>
      </c>
      <c r="H246" s="8">
        <v>2161</v>
      </c>
      <c r="I246" s="8">
        <v>902</v>
      </c>
      <c r="J246" s="161"/>
    </row>
    <row r="247" spans="1:13" ht="13.5" customHeight="1">
      <c r="A247" s="10" t="s">
        <v>8</v>
      </c>
      <c r="B247" s="8">
        <v>28544</v>
      </c>
      <c r="C247" s="8">
        <v>5151</v>
      </c>
      <c r="D247" s="8">
        <v>6838</v>
      </c>
      <c r="E247" s="8">
        <v>7977</v>
      </c>
      <c r="F247" s="8">
        <v>4578</v>
      </c>
      <c r="G247" s="8">
        <v>2141</v>
      </c>
      <c r="H247" s="8">
        <v>1343</v>
      </c>
      <c r="I247" s="8">
        <v>516</v>
      </c>
      <c r="J247" s="161"/>
    </row>
    <row r="248" spans="1:13" ht="13.5" customHeight="1">
      <c r="A248" s="10" t="s">
        <v>65</v>
      </c>
      <c r="B248" s="8">
        <v>1185</v>
      </c>
      <c r="C248" s="8">
        <v>381</v>
      </c>
      <c r="D248" s="8">
        <v>137</v>
      </c>
      <c r="E248" s="8">
        <v>185</v>
      </c>
      <c r="F248" s="8">
        <v>179</v>
      </c>
      <c r="G248" s="8">
        <v>113</v>
      </c>
      <c r="H248" s="8">
        <v>128</v>
      </c>
      <c r="I248" s="8">
        <v>62</v>
      </c>
      <c r="J248" s="161"/>
    </row>
    <row r="249" spans="1:13" ht="13.5" customHeight="1">
      <c r="A249" s="106" t="s">
        <v>39</v>
      </c>
      <c r="B249" s="36"/>
      <c r="C249" s="36"/>
      <c r="D249" s="36"/>
      <c r="E249" s="36"/>
      <c r="F249" s="36"/>
      <c r="G249" s="36"/>
      <c r="H249" s="36"/>
      <c r="I249" s="36"/>
      <c r="J249" s="161"/>
    </row>
    <row r="250" spans="1:13" ht="13.5" customHeight="1">
      <c r="A250" s="9" t="s">
        <v>10</v>
      </c>
      <c r="B250" s="8">
        <v>12596</v>
      </c>
      <c r="C250" s="8">
        <v>1520</v>
      </c>
      <c r="D250" s="8">
        <v>2431</v>
      </c>
      <c r="E250" s="8">
        <v>3305</v>
      </c>
      <c r="F250" s="8">
        <v>2063</v>
      </c>
      <c r="G250" s="8">
        <v>1283</v>
      </c>
      <c r="H250" s="8">
        <v>1230</v>
      </c>
      <c r="I250" s="8">
        <v>764</v>
      </c>
      <c r="J250" s="161"/>
    </row>
    <row r="251" spans="1:13" ht="13.5" customHeight="1">
      <c r="A251" s="9" t="s">
        <v>11</v>
      </c>
      <c r="B251" s="8">
        <v>14656</v>
      </c>
      <c r="C251" s="8">
        <v>1492</v>
      </c>
      <c r="D251" s="8">
        <v>3855</v>
      </c>
      <c r="E251" s="8">
        <v>4788</v>
      </c>
      <c r="F251" s="8">
        <v>2380</v>
      </c>
      <c r="G251" s="8">
        <v>951</v>
      </c>
      <c r="H251" s="8">
        <v>800</v>
      </c>
      <c r="I251" s="8">
        <v>390</v>
      </c>
      <c r="J251" s="161"/>
    </row>
    <row r="252" spans="1:13" ht="13.5" customHeight="1">
      <c r="A252" s="9" t="s">
        <v>12</v>
      </c>
      <c r="B252" s="8">
        <v>17921</v>
      </c>
      <c r="C252" s="8">
        <v>2764</v>
      </c>
      <c r="D252" s="8">
        <v>6366</v>
      </c>
      <c r="E252" s="8">
        <v>5920</v>
      </c>
      <c r="F252" s="8">
        <v>1730</v>
      </c>
      <c r="G252" s="8">
        <v>590</v>
      </c>
      <c r="H252" s="8">
        <v>343</v>
      </c>
      <c r="I252" s="8">
        <v>208</v>
      </c>
      <c r="J252" s="161"/>
    </row>
    <row r="253" spans="1:13" ht="13.5" customHeight="1">
      <c r="A253" s="9" t="s">
        <v>13</v>
      </c>
      <c r="B253" s="8">
        <v>13825</v>
      </c>
      <c r="C253" s="8">
        <v>3403</v>
      </c>
      <c r="D253" s="8">
        <v>3166</v>
      </c>
      <c r="E253" s="8">
        <v>4256</v>
      </c>
      <c r="F253" s="8">
        <v>1733</v>
      </c>
      <c r="G253" s="8">
        <v>630</v>
      </c>
      <c r="H253" s="8">
        <v>425</v>
      </c>
      <c r="I253" s="8">
        <v>212</v>
      </c>
      <c r="J253" s="161"/>
    </row>
    <row r="254" spans="1:13" ht="13.5" customHeight="1">
      <c r="A254" s="9" t="s">
        <v>14</v>
      </c>
      <c r="B254" s="8">
        <v>5856</v>
      </c>
      <c r="C254" s="8">
        <v>1170</v>
      </c>
      <c r="D254" s="8">
        <v>894</v>
      </c>
      <c r="E254" s="8">
        <v>1426</v>
      </c>
      <c r="F254" s="8">
        <v>1311</v>
      </c>
      <c r="G254" s="8">
        <v>564</v>
      </c>
      <c r="H254" s="8">
        <v>313</v>
      </c>
      <c r="I254" s="8">
        <v>178</v>
      </c>
      <c r="J254" s="161"/>
    </row>
    <row r="255" spans="1:13" ht="13.5" customHeight="1">
      <c r="A255" s="9" t="s">
        <v>15</v>
      </c>
      <c r="B255" s="8">
        <v>1827</v>
      </c>
      <c r="C255" s="8">
        <v>46</v>
      </c>
      <c r="D255" s="8">
        <v>248</v>
      </c>
      <c r="E255" s="8">
        <v>426</v>
      </c>
      <c r="F255" s="8">
        <v>497</v>
      </c>
      <c r="G255" s="8">
        <v>398</v>
      </c>
      <c r="H255" s="8">
        <v>142</v>
      </c>
      <c r="I255" s="8">
        <v>70</v>
      </c>
      <c r="J255" s="161"/>
    </row>
    <row r="256" spans="1:13" ht="13.5" customHeight="1">
      <c r="A256" s="9" t="s">
        <v>16</v>
      </c>
      <c r="B256" s="8">
        <v>1765</v>
      </c>
      <c r="C256" s="8">
        <v>107</v>
      </c>
      <c r="D256" s="8">
        <v>258</v>
      </c>
      <c r="E256" s="8">
        <v>289</v>
      </c>
      <c r="F256" s="8">
        <v>434</v>
      </c>
      <c r="G256" s="8">
        <v>397</v>
      </c>
      <c r="H256" s="8">
        <v>191</v>
      </c>
      <c r="I256" s="8">
        <v>89</v>
      </c>
      <c r="J256" s="161"/>
    </row>
    <row r="257" spans="1:10" ht="13.5" customHeight="1">
      <c r="A257" s="9" t="s">
        <v>17</v>
      </c>
      <c r="B257" s="8">
        <v>1014</v>
      </c>
      <c r="C257" s="8">
        <v>172</v>
      </c>
      <c r="D257" s="8">
        <v>190</v>
      </c>
      <c r="E257" s="8">
        <v>188</v>
      </c>
      <c r="F257" s="8">
        <v>223</v>
      </c>
      <c r="G257" s="8">
        <v>93</v>
      </c>
      <c r="H257" s="8">
        <v>84</v>
      </c>
      <c r="I257" s="8">
        <v>64</v>
      </c>
      <c r="J257" s="161"/>
    </row>
    <row r="258" spans="1:10" ht="13.5" customHeight="1">
      <c r="A258" s="9" t="s">
        <v>18</v>
      </c>
      <c r="B258" s="8">
        <v>995</v>
      </c>
      <c r="C258" s="8">
        <v>23</v>
      </c>
      <c r="D258" s="8">
        <v>105</v>
      </c>
      <c r="E258" s="8">
        <v>244</v>
      </c>
      <c r="F258" s="8">
        <v>241</v>
      </c>
      <c r="G258" s="8">
        <v>211</v>
      </c>
      <c r="H258" s="8">
        <v>113</v>
      </c>
      <c r="I258" s="8">
        <v>58</v>
      </c>
      <c r="J258" s="161"/>
    </row>
    <row r="259" spans="1:10" ht="13.5" customHeight="1">
      <c r="A259" s="9" t="s">
        <v>19</v>
      </c>
      <c r="B259" s="8">
        <v>999</v>
      </c>
      <c r="C259" s="8">
        <v>26</v>
      </c>
      <c r="D259" s="8">
        <v>75</v>
      </c>
      <c r="E259" s="8">
        <v>135</v>
      </c>
      <c r="F259" s="8">
        <v>273</v>
      </c>
      <c r="G259" s="8">
        <v>305</v>
      </c>
      <c r="H259" s="8">
        <v>118</v>
      </c>
      <c r="I259" s="8">
        <v>67</v>
      </c>
      <c r="J259" s="161"/>
    </row>
    <row r="260" spans="1:10" ht="13.5" customHeight="1">
      <c r="A260" s="9" t="s">
        <v>20</v>
      </c>
      <c r="B260" s="8">
        <v>2224</v>
      </c>
      <c r="C260" s="8">
        <v>100</v>
      </c>
      <c r="D260" s="8">
        <v>250</v>
      </c>
      <c r="E260" s="8">
        <v>421</v>
      </c>
      <c r="F260" s="8">
        <v>611</v>
      </c>
      <c r="G260" s="8">
        <v>479</v>
      </c>
      <c r="H260" s="8">
        <v>279</v>
      </c>
      <c r="I260" s="8">
        <v>84</v>
      </c>
      <c r="J260" s="161"/>
    </row>
    <row r="261" spans="1:10" ht="13.5" customHeight="1">
      <c r="A261" s="9" t="s">
        <v>21</v>
      </c>
      <c r="B261" s="8">
        <v>2308</v>
      </c>
      <c r="C261" s="8">
        <v>252</v>
      </c>
      <c r="D261" s="8">
        <v>373</v>
      </c>
      <c r="E261" s="8">
        <v>456</v>
      </c>
      <c r="F261" s="8">
        <v>611</v>
      </c>
      <c r="G261" s="8">
        <v>342</v>
      </c>
      <c r="H261" s="8">
        <v>210</v>
      </c>
      <c r="I261" s="8">
        <v>64</v>
      </c>
      <c r="J261" s="161"/>
    </row>
    <row r="262" spans="1:10" ht="13.5" customHeight="1">
      <c r="A262" s="9" t="s">
        <v>112</v>
      </c>
      <c r="B262" s="8">
        <v>3096</v>
      </c>
      <c r="C262" s="8">
        <v>324</v>
      </c>
      <c r="D262" s="8">
        <v>727</v>
      </c>
      <c r="E262" s="8">
        <v>885</v>
      </c>
      <c r="F262" s="8">
        <v>749</v>
      </c>
      <c r="G262" s="8">
        <v>290</v>
      </c>
      <c r="H262" s="8">
        <v>95</v>
      </c>
      <c r="I262" s="8">
        <v>26</v>
      </c>
      <c r="J262" s="161"/>
    </row>
    <row r="263" spans="1:10" ht="13.5" customHeight="1">
      <c r="A263" s="106" t="s">
        <v>40</v>
      </c>
      <c r="B263" s="36"/>
      <c r="C263" s="36"/>
      <c r="D263" s="36"/>
      <c r="E263" s="36"/>
      <c r="F263" s="36"/>
      <c r="G263" s="36"/>
      <c r="H263" s="36"/>
      <c r="I263" s="36"/>
      <c r="J263" s="161"/>
    </row>
    <row r="264" spans="1:10" ht="13.5" customHeight="1">
      <c r="A264" s="9" t="s">
        <v>23</v>
      </c>
      <c r="B264" s="8">
        <v>160</v>
      </c>
      <c r="C264" s="8">
        <v>64</v>
      </c>
      <c r="D264" s="8">
        <v>14</v>
      </c>
      <c r="E264" s="8">
        <v>26</v>
      </c>
      <c r="F264" s="8">
        <v>16</v>
      </c>
      <c r="G264" s="8">
        <v>12</v>
      </c>
      <c r="H264" s="8">
        <v>17</v>
      </c>
      <c r="I264" s="8">
        <v>11</v>
      </c>
      <c r="J264" s="161"/>
    </row>
    <row r="265" spans="1:10" ht="13.5" customHeight="1">
      <c r="A265" s="9" t="s">
        <v>24</v>
      </c>
      <c r="B265" s="8">
        <v>1935</v>
      </c>
      <c r="C265" s="8">
        <v>247</v>
      </c>
      <c r="D265" s="8">
        <v>117</v>
      </c>
      <c r="E265" s="8">
        <v>242</v>
      </c>
      <c r="F265" s="8">
        <v>271</v>
      </c>
      <c r="G265" s="8">
        <v>294</v>
      </c>
      <c r="H265" s="8">
        <v>434</v>
      </c>
      <c r="I265" s="8">
        <v>330</v>
      </c>
      <c r="J265" s="161"/>
    </row>
    <row r="266" spans="1:10" ht="13.5" customHeight="1">
      <c r="A266" s="9" t="s">
        <v>25</v>
      </c>
      <c r="B266" s="8">
        <v>4736</v>
      </c>
      <c r="C266" s="8">
        <v>315</v>
      </c>
      <c r="D266" s="8">
        <v>637</v>
      </c>
      <c r="E266" s="8">
        <v>842</v>
      </c>
      <c r="F266" s="8">
        <v>845</v>
      </c>
      <c r="G266" s="8">
        <v>627</v>
      </c>
      <c r="H266" s="8">
        <v>767</v>
      </c>
      <c r="I266" s="8">
        <v>703</v>
      </c>
      <c r="J266" s="161"/>
    </row>
    <row r="267" spans="1:10" ht="13.5" customHeight="1">
      <c r="A267" s="9" t="s">
        <v>26</v>
      </c>
      <c r="B267" s="8">
        <v>11539</v>
      </c>
      <c r="C267" s="8">
        <v>1308</v>
      </c>
      <c r="D267" s="8">
        <v>2982</v>
      </c>
      <c r="E267" s="8">
        <v>3645</v>
      </c>
      <c r="F267" s="8">
        <v>1869</v>
      </c>
      <c r="G267" s="8">
        <v>868</v>
      </c>
      <c r="H267" s="8">
        <v>624</v>
      </c>
      <c r="I267" s="8">
        <v>243</v>
      </c>
      <c r="J267" s="161"/>
    </row>
    <row r="268" spans="1:10" ht="13.5" customHeight="1">
      <c r="A268" s="9" t="s">
        <v>27</v>
      </c>
      <c r="B268" s="8">
        <v>20090</v>
      </c>
      <c r="C268" s="8">
        <v>2565</v>
      </c>
      <c r="D268" s="8">
        <v>5495</v>
      </c>
      <c r="E268" s="8">
        <v>6104</v>
      </c>
      <c r="F268" s="8">
        <v>3285</v>
      </c>
      <c r="G268" s="8">
        <v>1475</v>
      </c>
      <c r="H268" s="8">
        <v>880</v>
      </c>
      <c r="I268" s="8">
        <v>286</v>
      </c>
      <c r="J268" s="161"/>
    </row>
    <row r="269" spans="1:10" ht="13.5" customHeight="1">
      <c r="A269" s="9" t="s">
        <v>28</v>
      </c>
      <c r="B269" s="8">
        <v>15926</v>
      </c>
      <c r="C269" s="8">
        <v>2784</v>
      </c>
      <c r="D269" s="8">
        <v>4080</v>
      </c>
      <c r="E269" s="8">
        <v>4514</v>
      </c>
      <c r="F269" s="8">
        <v>2473</v>
      </c>
      <c r="G269" s="8">
        <v>1173</v>
      </c>
      <c r="H269" s="8">
        <v>613</v>
      </c>
      <c r="I269" s="8">
        <v>289</v>
      </c>
      <c r="J269" s="161"/>
    </row>
    <row r="270" spans="1:10" ht="13.5" customHeight="1">
      <c r="A270" s="9" t="s">
        <v>29</v>
      </c>
      <c r="B270" s="8">
        <v>12016</v>
      </c>
      <c r="C270" s="8">
        <v>2099</v>
      </c>
      <c r="D270" s="8">
        <v>2709</v>
      </c>
      <c r="E270" s="8">
        <v>3366</v>
      </c>
      <c r="F270" s="8">
        <v>2054</v>
      </c>
      <c r="G270" s="8">
        <v>1066</v>
      </c>
      <c r="H270" s="8">
        <v>510</v>
      </c>
      <c r="I270" s="8">
        <v>212</v>
      </c>
      <c r="J270" s="161"/>
    </row>
    <row r="271" spans="1:10" ht="13.5" customHeight="1">
      <c r="A271" s="10" t="s">
        <v>30</v>
      </c>
      <c r="B271" s="8">
        <v>12680</v>
      </c>
      <c r="C271" s="8">
        <v>2017</v>
      </c>
      <c r="D271" s="8">
        <v>2904</v>
      </c>
      <c r="E271" s="8">
        <v>4000</v>
      </c>
      <c r="F271" s="8">
        <v>2043</v>
      </c>
      <c r="G271" s="8">
        <v>1018</v>
      </c>
      <c r="H271" s="8">
        <v>498</v>
      </c>
      <c r="I271" s="8">
        <v>200</v>
      </c>
      <c r="J271" s="161"/>
    </row>
    <row r="272" spans="1:10" ht="13.5" customHeight="1">
      <c r="A272" s="106" t="s">
        <v>44</v>
      </c>
      <c r="B272" s="36"/>
      <c r="C272" s="36"/>
      <c r="D272" s="36"/>
      <c r="E272" s="36"/>
      <c r="F272" s="36"/>
      <c r="G272" s="36"/>
      <c r="H272" s="36"/>
      <c r="I272" s="36"/>
      <c r="J272" s="161"/>
    </row>
    <row r="273" spans="1:15" ht="13.5" customHeight="1">
      <c r="A273" s="10" t="s">
        <v>45</v>
      </c>
      <c r="B273" s="8">
        <v>11954</v>
      </c>
      <c r="C273" s="42">
        <v>10170</v>
      </c>
      <c r="D273" s="42">
        <v>1594</v>
      </c>
      <c r="E273" s="42">
        <v>111</v>
      </c>
      <c r="F273" s="42">
        <v>40</v>
      </c>
      <c r="G273" s="42">
        <v>18</v>
      </c>
      <c r="H273" s="42">
        <v>14</v>
      </c>
      <c r="I273" s="42">
        <v>7</v>
      </c>
      <c r="J273" s="161"/>
    </row>
    <row r="274" spans="1:15" ht="13.5" customHeight="1">
      <c r="A274" s="10" t="s">
        <v>46</v>
      </c>
      <c r="B274" s="8">
        <v>21508</v>
      </c>
      <c r="C274" s="42">
        <v>1207</v>
      </c>
      <c r="D274" s="42">
        <v>15188</v>
      </c>
      <c r="E274" s="42">
        <v>4722</v>
      </c>
      <c r="F274" s="42">
        <v>309</v>
      </c>
      <c r="G274" s="42">
        <v>57</v>
      </c>
      <c r="H274" s="42">
        <v>20</v>
      </c>
      <c r="I274" s="42">
        <v>5</v>
      </c>
      <c r="J274" s="161"/>
    </row>
    <row r="275" spans="1:15" ht="13.5" customHeight="1">
      <c r="A275" s="10" t="s">
        <v>47</v>
      </c>
      <c r="B275" s="8">
        <v>25401</v>
      </c>
      <c r="C275" s="42">
        <v>19</v>
      </c>
      <c r="D275" s="42">
        <v>2118</v>
      </c>
      <c r="E275" s="42">
        <v>16342</v>
      </c>
      <c r="F275" s="42">
        <v>6021</v>
      </c>
      <c r="G275" s="42">
        <v>674</v>
      </c>
      <c r="H275" s="42">
        <v>198</v>
      </c>
      <c r="I275" s="42">
        <v>29</v>
      </c>
      <c r="J275" s="161"/>
    </row>
    <row r="276" spans="1:15" ht="13.5" customHeight="1">
      <c r="A276" s="10" t="s">
        <v>48</v>
      </c>
      <c r="B276" s="8">
        <v>12921</v>
      </c>
      <c r="C276" s="42">
        <v>2</v>
      </c>
      <c r="D276" s="42">
        <v>33</v>
      </c>
      <c r="E276" s="42">
        <v>1509</v>
      </c>
      <c r="F276" s="42">
        <v>6046</v>
      </c>
      <c r="G276" s="42">
        <v>4034</v>
      </c>
      <c r="H276" s="42">
        <v>1136</v>
      </c>
      <c r="I276" s="42">
        <v>161</v>
      </c>
      <c r="J276" s="161"/>
    </row>
    <row r="277" spans="1:15" ht="13.5" customHeight="1">
      <c r="A277" s="10" t="s">
        <v>49</v>
      </c>
      <c r="B277" s="8">
        <v>4703</v>
      </c>
      <c r="C277" s="42">
        <v>1</v>
      </c>
      <c r="D277" s="42">
        <v>4</v>
      </c>
      <c r="E277" s="42">
        <v>48</v>
      </c>
      <c r="F277" s="42">
        <v>414</v>
      </c>
      <c r="G277" s="42">
        <v>1616</v>
      </c>
      <c r="H277" s="42">
        <v>2063</v>
      </c>
      <c r="I277" s="42">
        <v>557</v>
      </c>
      <c r="J277" s="161"/>
      <c r="N277"/>
      <c r="O277"/>
    </row>
    <row r="278" spans="1:15" ht="13.5" customHeight="1">
      <c r="A278" s="10" t="s">
        <v>98</v>
      </c>
      <c r="B278" s="8">
        <v>2595</v>
      </c>
      <c r="C278" s="8">
        <v>0</v>
      </c>
      <c r="D278" s="8">
        <v>1</v>
      </c>
      <c r="E278" s="8">
        <v>7</v>
      </c>
      <c r="F278" s="8">
        <v>26</v>
      </c>
      <c r="G278" s="8">
        <v>134</v>
      </c>
      <c r="H278" s="8">
        <v>912</v>
      </c>
      <c r="I278" s="8">
        <v>1515</v>
      </c>
      <c r="J278" s="161"/>
      <c r="M278"/>
      <c r="N278"/>
      <c r="O278"/>
    </row>
    <row r="279" spans="1:15" ht="13.5" customHeight="1">
      <c r="A279" s="161"/>
      <c r="C279" s="161"/>
      <c r="D279" s="161"/>
      <c r="E279" s="161"/>
      <c r="F279" s="161"/>
      <c r="G279" s="161"/>
      <c r="H279" s="161"/>
      <c r="J279"/>
      <c r="K279"/>
      <c r="M279"/>
    </row>
    <row r="280" spans="1:15" ht="13.5" customHeight="1">
      <c r="A280" s="9" t="s">
        <v>84</v>
      </c>
      <c r="B280" s="161"/>
      <c r="C280" s="161"/>
      <c r="D280" s="161"/>
      <c r="E280" s="161"/>
      <c r="F280" s="161"/>
      <c r="G280" s="8"/>
      <c r="H280" s="8"/>
      <c r="J280"/>
      <c r="K280"/>
      <c r="L280"/>
    </row>
    <row r="281" spans="1:15" ht="13.5" customHeight="1">
      <c r="A281" s="10"/>
      <c r="B281" s="8"/>
      <c r="C281" s="42"/>
      <c r="D281" s="42"/>
      <c r="E281" s="42"/>
      <c r="F281" s="42"/>
      <c r="G281" s="42"/>
      <c r="H281" s="42"/>
      <c r="I281" s="42"/>
      <c r="J281" s="161"/>
      <c r="L281"/>
    </row>
    <row r="282" spans="1:15" ht="13.5" customHeight="1">
      <c r="A282" s="46" t="s">
        <v>113</v>
      </c>
      <c r="B282" s="8"/>
      <c r="C282" s="42"/>
      <c r="D282" s="42"/>
      <c r="E282" s="42"/>
      <c r="F282" s="42"/>
      <c r="G282" s="42"/>
      <c r="H282" s="42"/>
      <c r="I282" s="42"/>
      <c r="J282" s="161"/>
    </row>
    <row r="283" spans="1:15" ht="13.5" customHeight="1">
      <c r="A283" s="46"/>
      <c r="B283" s="8"/>
      <c r="C283" s="42"/>
      <c r="D283" s="42"/>
      <c r="E283" s="42"/>
      <c r="F283" s="42"/>
      <c r="G283" s="42"/>
      <c r="H283" s="42"/>
      <c r="I283" s="42"/>
      <c r="J283" s="161"/>
    </row>
    <row r="284" spans="1:15" ht="13.5" customHeight="1">
      <c r="A284" s="46"/>
      <c r="B284" s="8"/>
      <c r="C284" s="42"/>
      <c r="D284" s="42"/>
      <c r="E284" s="42"/>
      <c r="F284" s="42"/>
      <c r="G284" s="42"/>
      <c r="H284" s="42"/>
      <c r="I284" s="42"/>
      <c r="J284" s="161"/>
    </row>
    <row r="285" spans="1:15" ht="13.5" customHeight="1">
      <c r="A285" s="86" t="s">
        <v>124</v>
      </c>
      <c r="B285" s="87"/>
      <c r="C285" s="87"/>
      <c r="D285" s="87"/>
      <c r="E285" s="87"/>
      <c r="F285" s="159"/>
      <c r="G285" s="87"/>
      <c r="H285" s="53"/>
      <c r="I285" s="89"/>
      <c r="J285" s="161"/>
    </row>
    <row r="286" spans="1:15" ht="13.5" customHeight="1">
      <c r="A286" s="58" t="s">
        <v>1</v>
      </c>
      <c r="B286" s="58"/>
      <c r="C286" s="58"/>
      <c r="D286" s="58"/>
      <c r="E286" s="58"/>
      <c r="F286" s="58"/>
      <c r="G286" s="58"/>
      <c r="H286" s="160"/>
      <c r="I286" s="62"/>
      <c r="J286" s="161"/>
    </row>
    <row r="287" spans="1:15" ht="13.5" customHeight="1">
      <c r="A287" s="58"/>
      <c r="B287" s="58"/>
      <c r="C287" s="42"/>
      <c r="D287" s="42"/>
      <c r="E287" s="42"/>
      <c r="F287" s="42"/>
      <c r="G287" s="42"/>
      <c r="H287" s="42"/>
      <c r="I287" s="42"/>
      <c r="M287" s="7"/>
    </row>
    <row r="288" spans="1:15" ht="13.5" customHeight="1">
      <c r="A288" s="114"/>
      <c r="B288" s="114"/>
      <c r="C288" s="116"/>
      <c r="D288" s="116"/>
      <c r="E288" s="116"/>
      <c r="F288" s="116"/>
      <c r="G288" s="116"/>
      <c r="H288" s="116"/>
      <c r="I288" s="117" t="s">
        <v>73</v>
      </c>
      <c r="K288" s="170" t="s">
        <v>126</v>
      </c>
    </row>
    <row r="289" spans="1:9" ht="13.5" customHeight="1">
      <c r="A289" s="153"/>
      <c r="B289" s="152" t="s">
        <v>2</v>
      </c>
      <c r="C289" s="152" t="s">
        <v>99</v>
      </c>
      <c r="D289" s="154" t="s">
        <v>67</v>
      </c>
      <c r="E289" s="154" t="s">
        <v>68</v>
      </c>
      <c r="F289" s="154" t="s">
        <v>69</v>
      </c>
      <c r="G289" s="154" t="s">
        <v>70</v>
      </c>
      <c r="H289" s="154" t="s">
        <v>71</v>
      </c>
      <c r="I289" s="154" t="s">
        <v>72</v>
      </c>
    </row>
    <row r="290" spans="1:9" ht="13.5" customHeight="1">
      <c r="A290" s="37" t="s">
        <v>2</v>
      </c>
      <c r="B290" s="36">
        <v>78257</v>
      </c>
      <c r="C290" s="36">
        <v>11328</v>
      </c>
      <c r="D290" s="36">
        <v>18766</v>
      </c>
      <c r="E290" s="36">
        <v>22440</v>
      </c>
      <c r="F290" s="36">
        <v>12620</v>
      </c>
      <c r="G290" s="36">
        <v>6503</v>
      </c>
      <c r="H290" s="36">
        <v>4328</v>
      </c>
      <c r="I290" s="36">
        <v>2272</v>
      </c>
    </row>
    <row r="291" spans="1:9" ht="13.5" customHeight="1">
      <c r="A291" s="37" t="s">
        <v>5</v>
      </c>
      <c r="B291" s="36"/>
      <c r="C291" s="36"/>
      <c r="D291" s="36"/>
      <c r="E291" s="36"/>
      <c r="F291" s="36"/>
      <c r="G291" s="36"/>
      <c r="H291" s="36"/>
      <c r="I291" s="36"/>
    </row>
    <row r="292" spans="1:9" ht="13.5" customHeight="1">
      <c r="A292" s="9" t="s">
        <v>6</v>
      </c>
      <c r="B292" s="8">
        <v>2194</v>
      </c>
      <c r="C292" s="8">
        <v>19</v>
      </c>
      <c r="D292" s="8">
        <v>35</v>
      </c>
      <c r="E292" s="8">
        <v>149</v>
      </c>
      <c r="F292" s="8">
        <v>216</v>
      </c>
      <c r="G292" s="8">
        <v>265</v>
      </c>
      <c r="H292" s="8">
        <v>713</v>
      </c>
      <c r="I292" s="8">
        <v>797</v>
      </c>
    </row>
    <row r="293" spans="1:9" ht="13.5" customHeight="1">
      <c r="A293" s="9" t="s">
        <v>7</v>
      </c>
      <c r="B293" s="8">
        <v>46571</v>
      </c>
      <c r="C293" s="8">
        <v>5829</v>
      </c>
      <c r="D293" s="8">
        <v>11781</v>
      </c>
      <c r="E293" s="8">
        <v>14226</v>
      </c>
      <c r="F293" s="8">
        <v>7709</v>
      </c>
      <c r="G293" s="8">
        <v>4007</v>
      </c>
      <c r="H293" s="8">
        <v>2149</v>
      </c>
      <c r="I293" s="8">
        <v>870</v>
      </c>
    </row>
    <row r="294" spans="1:9" ht="13.5" customHeight="1">
      <c r="A294" s="10" t="s">
        <v>8</v>
      </c>
      <c r="B294" s="8">
        <v>28240</v>
      </c>
      <c r="C294" s="8">
        <v>5091</v>
      </c>
      <c r="D294" s="8">
        <v>6788</v>
      </c>
      <c r="E294" s="8">
        <v>7876</v>
      </c>
      <c r="F294" s="8">
        <v>4508</v>
      </c>
      <c r="G294" s="8">
        <v>2121</v>
      </c>
      <c r="H294" s="8">
        <v>1325</v>
      </c>
      <c r="I294" s="8">
        <v>531</v>
      </c>
    </row>
    <row r="295" spans="1:9" ht="13.5" customHeight="1">
      <c r="A295" s="10" t="s">
        <v>65</v>
      </c>
      <c r="B295" s="8">
        <v>1252</v>
      </c>
      <c r="C295" s="8">
        <v>389</v>
      </c>
      <c r="D295" s="8">
        <v>162</v>
      </c>
      <c r="E295" s="8">
        <v>189</v>
      </c>
      <c r="F295" s="8">
        <v>187</v>
      </c>
      <c r="G295" s="8">
        <v>110</v>
      </c>
      <c r="H295" s="8">
        <v>141</v>
      </c>
      <c r="I295" s="8">
        <v>74</v>
      </c>
    </row>
    <row r="296" spans="1:9" ht="13.5" customHeight="1">
      <c r="A296" s="106" t="s">
        <v>39</v>
      </c>
      <c r="B296" s="36"/>
      <c r="C296" s="36"/>
      <c r="D296" s="36"/>
      <c r="E296" s="36"/>
      <c r="F296" s="36"/>
      <c r="G296" s="36"/>
      <c r="H296" s="36"/>
      <c r="I296" s="36"/>
    </row>
    <row r="297" spans="1:9" ht="13.5" customHeight="1">
      <c r="A297" s="9" t="s">
        <v>10</v>
      </c>
      <c r="B297" s="8">
        <v>12573</v>
      </c>
      <c r="C297" s="8">
        <v>1532</v>
      </c>
      <c r="D297" s="8">
        <v>2420</v>
      </c>
      <c r="E297" s="8">
        <v>3286</v>
      </c>
      <c r="F297" s="8">
        <v>2059</v>
      </c>
      <c r="G297" s="8">
        <v>1278</v>
      </c>
      <c r="H297" s="8">
        <v>1232</v>
      </c>
      <c r="I297" s="8">
        <v>766</v>
      </c>
    </row>
    <row r="298" spans="1:9" ht="13.5" customHeight="1">
      <c r="A298" s="9" t="s">
        <v>11</v>
      </c>
      <c r="B298" s="8">
        <v>14644</v>
      </c>
      <c r="C298" s="8">
        <v>1487</v>
      </c>
      <c r="D298" s="8">
        <v>3849</v>
      </c>
      <c r="E298" s="8">
        <v>4789</v>
      </c>
      <c r="F298" s="8">
        <v>2375</v>
      </c>
      <c r="G298" s="8">
        <v>950</v>
      </c>
      <c r="H298" s="8">
        <v>799</v>
      </c>
      <c r="I298" s="8">
        <v>395</v>
      </c>
    </row>
    <row r="299" spans="1:9" ht="13.5" customHeight="1">
      <c r="A299" s="9" t="s">
        <v>12</v>
      </c>
      <c r="B299" s="8">
        <v>17954</v>
      </c>
      <c r="C299" s="8">
        <v>2749</v>
      </c>
      <c r="D299" s="8">
        <v>6419</v>
      </c>
      <c r="E299" s="8">
        <v>5923</v>
      </c>
      <c r="F299" s="8">
        <v>1721</v>
      </c>
      <c r="G299" s="8">
        <v>590</v>
      </c>
      <c r="H299" s="8">
        <v>345</v>
      </c>
      <c r="I299" s="8">
        <v>207</v>
      </c>
    </row>
    <row r="300" spans="1:9" ht="13.5" customHeight="1">
      <c r="A300" s="9" t="s">
        <v>13</v>
      </c>
      <c r="B300" s="8">
        <v>13822</v>
      </c>
      <c r="C300" s="8">
        <v>3389</v>
      </c>
      <c r="D300" s="8">
        <v>3172</v>
      </c>
      <c r="E300" s="8">
        <v>4241</v>
      </c>
      <c r="F300" s="8">
        <v>1729</v>
      </c>
      <c r="G300" s="8">
        <v>647</v>
      </c>
      <c r="H300" s="8">
        <v>424</v>
      </c>
      <c r="I300" s="8">
        <v>220</v>
      </c>
    </row>
    <row r="301" spans="1:9" ht="13.5" customHeight="1">
      <c r="A301" s="9" t="s">
        <v>14</v>
      </c>
      <c r="B301" s="8">
        <v>5913</v>
      </c>
      <c r="C301" s="8">
        <v>1194</v>
      </c>
      <c r="D301" s="8">
        <v>905</v>
      </c>
      <c r="E301" s="8">
        <v>1435</v>
      </c>
      <c r="F301" s="8">
        <v>1320</v>
      </c>
      <c r="G301" s="8">
        <v>564</v>
      </c>
      <c r="H301" s="8">
        <v>316</v>
      </c>
      <c r="I301" s="8">
        <v>179</v>
      </c>
    </row>
    <row r="302" spans="1:9" ht="13.5" customHeight="1">
      <c r="A302" s="9" t="s">
        <v>15</v>
      </c>
      <c r="B302" s="8">
        <v>1827</v>
      </c>
      <c r="C302" s="8">
        <v>46</v>
      </c>
      <c r="D302" s="8">
        <v>245</v>
      </c>
      <c r="E302" s="8">
        <v>430</v>
      </c>
      <c r="F302" s="8">
        <v>493</v>
      </c>
      <c r="G302" s="8">
        <v>401</v>
      </c>
      <c r="H302" s="8">
        <v>141</v>
      </c>
      <c r="I302" s="8">
        <v>71</v>
      </c>
    </row>
    <row r="303" spans="1:9" ht="13.5" customHeight="1">
      <c r="A303" s="9" t="s">
        <v>16</v>
      </c>
      <c r="B303" s="8">
        <v>1763</v>
      </c>
      <c r="C303" s="8">
        <v>107</v>
      </c>
      <c r="D303" s="8">
        <v>258</v>
      </c>
      <c r="E303" s="8">
        <v>289</v>
      </c>
      <c r="F303" s="8">
        <v>435</v>
      </c>
      <c r="G303" s="8">
        <v>395</v>
      </c>
      <c r="H303" s="8">
        <v>190</v>
      </c>
      <c r="I303" s="8">
        <v>89</v>
      </c>
    </row>
    <row r="304" spans="1:9" ht="13.5" customHeight="1">
      <c r="A304" s="9" t="s">
        <v>17</v>
      </c>
      <c r="B304" s="8">
        <v>1014</v>
      </c>
      <c r="C304" s="8">
        <v>172</v>
      </c>
      <c r="D304" s="8">
        <v>190</v>
      </c>
      <c r="E304" s="8">
        <v>188</v>
      </c>
      <c r="F304" s="8">
        <v>223</v>
      </c>
      <c r="G304" s="8">
        <v>93</v>
      </c>
      <c r="H304" s="8">
        <v>84</v>
      </c>
      <c r="I304" s="8">
        <v>64</v>
      </c>
    </row>
    <row r="305" spans="1:9" ht="13.5" customHeight="1">
      <c r="A305" s="9" t="s">
        <v>18</v>
      </c>
      <c r="B305" s="8">
        <v>967</v>
      </c>
      <c r="C305" s="8">
        <v>14</v>
      </c>
      <c r="D305" s="8">
        <v>96</v>
      </c>
      <c r="E305" s="8">
        <v>236</v>
      </c>
      <c r="F305" s="8">
        <v>242</v>
      </c>
      <c r="G305" s="8">
        <v>209</v>
      </c>
      <c r="H305" s="8">
        <v>113</v>
      </c>
      <c r="I305" s="8">
        <v>57</v>
      </c>
    </row>
    <row r="306" spans="1:9" ht="13.5" customHeight="1">
      <c r="A306" s="9" t="s">
        <v>19</v>
      </c>
      <c r="B306" s="8">
        <v>995</v>
      </c>
      <c r="C306" s="8">
        <v>26</v>
      </c>
      <c r="D306" s="8">
        <v>75</v>
      </c>
      <c r="E306" s="8">
        <v>135</v>
      </c>
      <c r="F306" s="8">
        <v>272</v>
      </c>
      <c r="G306" s="8">
        <v>305</v>
      </c>
      <c r="H306" s="8">
        <v>116</v>
      </c>
      <c r="I306" s="8">
        <v>66</v>
      </c>
    </row>
    <row r="307" spans="1:9" ht="13.5" customHeight="1">
      <c r="A307" s="9" t="s">
        <v>20</v>
      </c>
      <c r="B307" s="8">
        <v>2222</v>
      </c>
      <c r="C307" s="8">
        <v>101</v>
      </c>
      <c r="D307" s="8">
        <v>249</v>
      </c>
      <c r="E307" s="8">
        <v>421</v>
      </c>
      <c r="F307" s="8">
        <v>611</v>
      </c>
      <c r="G307" s="8">
        <v>487</v>
      </c>
      <c r="H307" s="8">
        <v>273</v>
      </c>
      <c r="I307" s="8">
        <v>80</v>
      </c>
    </row>
    <row r="308" spans="1:9" ht="13.5" customHeight="1">
      <c r="A308" s="9" t="s">
        <v>21</v>
      </c>
      <c r="B308" s="8">
        <v>2307</v>
      </c>
      <c r="C308" s="8">
        <v>250</v>
      </c>
      <c r="D308" s="8">
        <v>371</v>
      </c>
      <c r="E308" s="8">
        <v>457</v>
      </c>
      <c r="F308" s="8">
        <v>613</v>
      </c>
      <c r="G308" s="8">
        <v>342</v>
      </c>
      <c r="H308" s="8">
        <v>210</v>
      </c>
      <c r="I308" s="8">
        <v>64</v>
      </c>
    </row>
    <row r="309" spans="1:9" ht="13.5" customHeight="1">
      <c r="A309" s="9" t="s">
        <v>112</v>
      </c>
      <c r="B309" s="8">
        <v>2256</v>
      </c>
      <c r="C309" s="8">
        <v>261</v>
      </c>
      <c r="D309" s="8">
        <v>517</v>
      </c>
      <c r="E309" s="8">
        <v>610</v>
      </c>
      <c r="F309" s="8">
        <v>527</v>
      </c>
      <c r="G309" s="8">
        <v>242</v>
      </c>
      <c r="H309" s="8">
        <v>85</v>
      </c>
      <c r="I309" s="8">
        <v>14</v>
      </c>
    </row>
    <row r="310" spans="1:9" ht="13.5" customHeight="1">
      <c r="A310" s="106" t="s">
        <v>40</v>
      </c>
      <c r="B310" s="36"/>
      <c r="C310" s="36"/>
      <c r="D310" s="36"/>
      <c r="E310" s="36"/>
      <c r="F310" s="36"/>
      <c r="G310" s="36"/>
      <c r="H310" s="36"/>
      <c r="I310" s="36"/>
    </row>
    <row r="311" spans="1:9" ht="13.5" customHeight="1">
      <c r="A311" s="9" t="s">
        <v>23</v>
      </c>
      <c r="B311" s="8">
        <v>157</v>
      </c>
      <c r="C311" s="8">
        <v>64</v>
      </c>
      <c r="D311" s="8">
        <v>11</v>
      </c>
      <c r="E311" s="8">
        <v>25</v>
      </c>
      <c r="F311" s="8">
        <v>17</v>
      </c>
      <c r="G311" s="8">
        <v>12</v>
      </c>
      <c r="H311" s="8">
        <v>17</v>
      </c>
      <c r="I311" s="8">
        <v>11</v>
      </c>
    </row>
    <row r="312" spans="1:9" ht="13.5" customHeight="1">
      <c r="A312" s="9" t="s">
        <v>24</v>
      </c>
      <c r="B312" s="8">
        <v>1933</v>
      </c>
      <c r="C312" s="8">
        <v>240</v>
      </c>
      <c r="D312" s="8">
        <v>114</v>
      </c>
      <c r="E312" s="8">
        <v>241</v>
      </c>
      <c r="F312" s="8">
        <v>273</v>
      </c>
      <c r="G312" s="8">
        <v>294</v>
      </c>
      <c r="H312" s="8">
        <v>438</v>
      </c>
      <c r="I312" s="8">
        <v>333</v>
      </c>
    </row>
    <row r="313" spans="1:9" ht="13.5" customHeight="1">
      <c r="A313" s="9" t="s">
        <v>25</v>
      </c>
      <c r="B313" s="8">
        <v>4718</v>
      </c>
      <c r="C313" s="8">
        <v>307</v>
      </c>
      <c r="D313" s="8">
        <v>635</v>
      </c>
      <c r="E313" s="8">
        <v>841</v>
      </c>
      <c r="F313" s="8">
        <v>848</v>
      </c>
      <c r="G313" s="8">
        <v>631</v>
      </c>
      <c r="H313" s="8">
        <v>756</v>
      </c>
      <c r="I313" s="8">
        <v>700</v>
      </c>
    </row>
    <row r="314" spans="1:9" ht="13.5" customHeight="1">
      <c r="A314" s="9" t="s">
        <v>26</v>
      </c>
      <c r="B314" s="8">
        <v>11519</v>
      </c>
      <c r="C314" s="8">
        <v>1307</v>
      </c>
      <c r="D314" s="8">
        <v>3005</v>
      </c>
      <c r="E314" s="8">
        <v>3616</v>
      </c>
      <c r="F314" s="8">
        <v>1856</v>
      </c>
      <c r="G314" s="8">
        <v>864</v>
      </c>
      <c r="H314" s="8">
        <v>625</v>
      </c>
      <c r="I314" s="8">
        <v>246</v>
      </c>
    </row>
    <row r="315" spans="1:9" ht="13.5" customHeight="1">
      <c r="A315" s="9" t="s">
        <v>27</v>
      </c>
      <c r="B315" s="8">
        <v>19969</v>
      </c>
      <c r="C315" s="8">
        <v>2676</v>
      </c>
      <c r="D315" s="8">
        <v>5431</v>
      </c>
      <c r="E315" s="8">
        <v>6057</v>
      </c>
      <c r="F315" s="8">
        <v>3188</v>
      </c>
      <c r="G315" s="8">
        <v>1457</v>
      </c>
      <c r="H315" s="8">
        <v>876</v>
      </c>
      <c r="I315" s="8">
        <v>284</v>
      </c>
    </row>
    <row r="316" spans="1:9" ht="13.5" customHeight="1">
      <c r="A316" s="9" t="s">
        <v>28</v>
      </c>
      <c r="B316" s="8">
        <v>15816</v>
      </c>
      <c r="C316" s="8">
        <v>2759</v>
      </c>
      <c r="D316" s="8">
        <v>4050</v>
      </c>
      <c r="E316" s="8">
        <v>4478</v>
      </c>
      <c r="F316" s="8">
        <v>2450</v>
      </c>
      <c r="G316" s="8">
        <v>1175</v>
      </c>
      <c r="H316" s="8">
        <v>612</v>
      </c>
      <c r="I316" s="8">
        <v>292</v>
      </c>
    </row>
    <row r="317" spans="1:9" ht="13.5" customHeight="1">
      <c r="A317" s="9" t="s">
        <v>29</v>
      </c>
      <c r="B317" s="8">
        <v>11783</v>
      </c>
      <c r="C317" s="8">
        <v>1965</v>
      </c>
      <c r="D317" s="8">
        <v>2693</v>
      </c>
      <c r="E317" s="8">
        <v>3335</v>
      </c>
      <c r="F317" s="8">
        <v>2034</v>
      </c>
      <c r="G317" s="8">
        <v>1048</v>
      </c>
      <c r="H317" s="8">
        <v>509</v>
      </c>
      <c r="I317" s="8">
        <v>199</v>
      </c>
    </row>
    <row r="318" spans="1:9" ht="13.5" customHeight="1">
      <c r="A318" s="10" t="s">
        <v>30</v>
      </c>
      <c r="B318" s="8">
        <v>12362</v>
      </c>
      <c r="C318" s="8">
        <v>2010</v>
      </c>
      <c r="D318" s="8">
        <v>2827</v>
      </c>
      <c r="E318" s="8">
        <v>3847</v>
      </c>
      <c r="F318" s="8">
        <v>1954</v>
      </c>
      <c r="G318" s="8">
        <v>1022</v>
      </c>
      <c r="H318" s="8">
        <v>495</v>
      </c>
      <c r="I318" s="8">
        <v>207</v>
      </c>
    </row>
    <row r="319" spans="1:9" ht="13.5" customHeight="1">
      <c r="A319" s="106" t="s">
        <v>44</v>
      </c>
      <c r="B319" s="36"/>
      <c r="C319" s="36"/>
      <c r="D319" s="36"/>
      <c r="E319" s="36"/>
      <c r="F319" s="36"/>
      <c r="G319" s="36"/>
      <c r="H319" s="36"/>
      <c r="I319" s="36"/>
    </row>
    <row r="320" spans="1:9" ht="13.5" customHeight="1">
      <c r="A320" s="10" t="s">
        <v>45</v>
      </c>
      <c r="B320" s="8">
        <v>11889</v>
      </c>
      <c r="C320" s="42">
        <v>10120</v>
      </c>
      <c r="D320" s="42">
        <v>1578</v>
      </c>
      <c r="E320" s="42">
        <v>108</v>
      </c>
      <c r="F320" s="42">
        <v>38</v>
      </c>
      <c r="G320" s="42">
        <v>20</v>
      </c>
      <c r="H320" s="42">
        <v>15</v>
      </c>
      <c r="I320" s="42">
        <v>10</v>
      </c>
    </row>
    <row r="321" spans="1:15" ht="13.5" customHeight="1">
      <c r="A321" s="10" t="s">
        <v>46</v>
      </c>
      <c r="B321" s="8">
        <v>21291</v>
      </c>
      <c r="C321" s="42">
        <v>1187</v>
      </c>
      <c r="D321" s="42">
        <v>15008</v>
      </c>
      <c r="E321" s="42">
        <v>4707</v>
      </c>
      <c r="F321" s="42">
        <v>306</v>
      </c>
      <c r="G321" s="42">
        <v>57</v>
      </c>
      <c r="H321" s="42">
        <v>21</v>
      </c>
      <c r="I321" s="42">
        <v>5</v>
      </c>
    </row>
    <row r="322" spans="1:15" ht="13.5" customHeight="1">
      <c r="A322" s="10" t="s">
        <v>47</v>
      </c>
      <c r="B322" s="8">
        <v>25065</v>
      </c>
      <c r="C322" s="42">
        <v>20</v>
      </c>
      <c r="D322" s="42">
        <v>2139</v>
      </c>
      <c r="E322" s="42">
        <v>16064</v>
      </c>
      <c r="F322" s="42">
        <v>5950</v>
      </c>
      <c r="G322" s="42">
        <v>669</v>
      </c>
      <c r="H322" s="42">
        <v>192</v>
      </c>
      <c r="I322" s="42">
        <v>31</v>
      </c>
    </row>
    <row r="323" spans="1:15" ht="13.5" customHeight="1">
      <c r="A323" s="10" t="s">
        <v>48</v>
      </c>
      <c r="B323" s="8">
        <v>12725</v>
      </c>
      <c r="C323" s="42">
        <v>1</v>
      </c>
      <c r="D323" s="42">
        <v>34</v>
      </c>
      <c r="E323" s="42">
        <v>1503</v>
      </c>
      <c r="F323" s="42">
        <v>5889</v>
      </c>
      <c r="G323" s="42">
        <v>4027</v>
      </c>
      <c r="H323" s="42">
        <v>1124</v>
      </c>
      <c r="I323" s="42">
        <v>147</v>
      </c>
      <c r="N323"/>
      <c r="O323"/>
    </row>
    <row r="324" spans="1:15" ht="13.5" customHeight="1">
      <c r="A324" s="10" t="s">
        <v>49</v>
      </c>
      <c r="B324" s="8">
        <v>4685</v>
      </c>
      <c r="C324" s="42">
        <v>0</v>
      </c>
      <c r="D324" s="42">
        <v>6</v>
      </c>
      <c r="E324" s="42">
        <v>53</v>
      </c>
      <c r="F324" s="42">
        <v>408</v>
      </c>
      <c r="G324" s="42">
        <v>1599</v>
      </c>
      <c r="H324" s="42">
        <v>2068</v>
      </c>
      <c r="I324" s="42">
        <v>551</v>
      </c>
      <c r="M324"/>
      <c r="N324"/>
      <c r="O324"/>
    </row>
    <row r="325" spans="1:15" ht="13.5" customHeight="1">
      <c r="A325" s="10" t="s">
        <v>98</v>
      </c>
      <c r="B325" s="8">
        <v>2602</v>
      </c>
      <c r="C325" s="42">
        <v>0</v>
      </c>
      <c r="D325" s="42">
        <v>1</v>
      </c>
      <c r="E325" s="42">
        <v>5</v>
      </c>
      <c r="F325" s="42">
        <v>29</v>
      </c>
      <c r="G325" s="42">
        <v>131</v>
      </c>
      <c r="H325" s="42">
        <v>908</v>
      </c>
      <c r="I325" s="42">
        <v>1528</v>
      </c>
      <c r="M325"/>
    </row>
    <row r="326" spans="1:15" ht="13.5" customHeight="1">
      <c r="A326" s="161"/>
      <c r="C326" s="161"/>
      <c r="D326" s="161"/>
      <c r="E326" s="161"/>
      <c r="F326" s="161"/>
      <c r="G326" s="161"/>
      <c r="H326" s="161"/>
      <c r="J326"/>
      <c r="K326"/>
    </row>
    <row r="327" spans="1:15" ht="13.5" customHeight="1">
      <c r="A327" s="9" t="s">
        <v>84</v>
      </c>
      <c r="B327" s="161"/>
      <c r="C327" s="161"/>
      <c r="D327" s="161"/>
      <c r="E327" s="161"/>
      <c r="F327" s="161"/>
      <c r="G327" s="8"/>
      <c r="H327" s="8"/>
      <c r="J327"/>
      <c r="K327"/>
      <c r="L327"/>
    </row>
    <row r="328" spans="1:15" ht="13.5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L328"/>
    </row>
    <row r="329" spans="1:15" ht="13.5" customHeight="1">
      <c r="A329" s="46" t="s">
        <v>113</v>
      </c>
      <c r="B329" s="161"/>
      <c r="C329" s="161"/>
      <c r="D329" s="161"/>
      <c r="E329" s="161"/>
      <c r="F329" s="161"/>
      <c r="G329" s="161"/>
      <c r="H329" s="161"/>
      <c r="I329" s="161"/>
    </row>
    <row r="332" spans="1:15" ht="13.5" customHeight="1">
      <c r="A332" s="86" t="s">
        <v>120</v>
      </c>
      <c r="B332" s="87"/>
      <c r="C332" s="87"/>
      <c r="D332" s="87"/>
      <c r="E332" s="87"/>
      <c r="F332" s="159"/>
      <c r="G332" s="87"/>
      <c r="H332" s="53"/>
      <c r="I332" s="89"/>
    </row>
    <row r="333" spans="1:15" ht="13.5" customHeight="1">
      <c r="A333" s="58" t="s">
        <v>1</v>
      </c>
      <c r="B333" s="58"/>
      <c r="C333" s="58"/>
      <c r="D333" s="58"/>
      <c r="E333" s="58"/>
      <c r="F333" s="58"/>
      <c r="G333" s="58"/>
      <c r="H333" s="160"/>
      <c r="I333" s="62"/>
    </row>
    <row r="334" spans="1:15" ht="13.5" customHeight="1">
      <c r="A334" s="58"/>
      <c r="B334" s="58"/>
      <c r="C334" s="58"/>
      <c r="D334" s="58"/>
      <c r="E334" s="58"/>
      <c r="F334" s="58"/>
      <c r="G334" s="58"/>
      <c r="H334" s="58"/>
      <c r="I334" s="62"/>
    </row>
    <row r="335" spans="1:15" ht="13.5" customHeight="1">
      <c r="A335" s="114"/>
      <c r="B335" s="114"/>
      <c r="C335" s="116"/>
      <c r="D335" s="116"/>
      <c r="E335" s="116"/>
      <c r="F335" s="116"/>
      <c r="G335" s="116"/>
      <c r="H335" s="116"/>
      <c r="I335" s="117" t="s">
        <v>73</v>
      </c>
      <c r="K335" s="170" t="s">
        <v>126</v>
      </c>
    </row>
    <row r="336" spans="1:15" ht="13.5" customHeight="1">
      <c r="A336" s="153"/>
      <c r="B336" s="152" t="s">
        <v>2</v>
      </c>
      <c r="C336" s="152" t="s">
        <v>99</v>
      </c>
      <c r="D336" s="154" t="s">
        <v>67</v>
      </c>
      <c r="E336" s="154" t="s">
        <v>68</v>
      </c>
      <c r="F336" s="154" t="s">
        <v>69</v>
      </c>
      <c r="G336" s="154" t="s">
        <v>70</v>
      </c>
      <c r="H336" s="154" t="s">
        <v>71</v>
      </c>
      <c r="I336" s="154" t="s">
        <v>72</v>
      </c>
    </row>
    <row r="337" spans="1:9" ht="13.5" customHeight="1">
      <c r="A337" s="37" t="s">
        <v>2</v>
      </c>
      <c r="B337" s="36">
        <v>77533</v>
      </c>
      <c r="C337" s="36">
        <v>11157</v>
      </c>
      <c r="D337" s="36">
        <v>18605</v>
      </c>
      <c r="E337" s="36">
        <v>22253</v>
      </c>
      <c r="F337" s="36">
        <v>12484</v>
      </c>
      <c r="G337" s="36">
        <v>6433</v>
      </c>
      <c r="H337" s="36">
        <v>4319</v>
      </c>
      <c r="I337" s="36">
        <v>2282</v>
      </c>
    </row>
    <row r="338" spans="1:9" ht="13.5" customHeight="1">
      <c r="A338" s="37" t="s">
        <v>5</v>
      </c>
      <c r="B338" s="36"/>
      <c r="C338" s="36"/>
      <c r="D338" s="36"/>
      <c r="E338" s="36"/>
      <c r="F338" s="36"/>
      <c r="G338" s="36"/>
      <c r="H338" s="36"/>
      <c r="I338" s="36"/>
    </row>
    <row r="339" spans="1:9" ht="13.5" customHeight="1">
      <c r="A339" s="9" t="s">
        <v>6</v>
      </c>
      <c r="B339" s="8">
        <v>2207</v>
      </c>
      <c r="C339" s="8">
        <v>15</v>
      </c>
      <c r="D339" s="8">
        <v>34</v>
      </c>
      <c r="E339" s="8">
        <v>150</v>
      </c>
      <c r="F339" s="8">
        <v>217</v>
      </c>
      <c r="G339" s="8">
        <v>270</v>
      </c>
      <c r="H339" s="8">
        <v>722</v>
      </c>
      <c r="I339" s="8">
        <v>799</v>
      </c>
    </row>
    <row r="340" spans="1:9" ht="13.5" customHeight="1">
      <c r="A340" s="9" t="s">
        <v>7</v>
      </c>
      <c r="B340" s="8">
        <v>46024</v>
      </c>
      <c r="C340" s="8">
        <v>5725</v>
      </c>
      <c r="D340" s="8">
        <v>11615</v>
      </c>
      <c r="E340" s="8">
        <v>14085</v>
      </c>
      <c r="F340" s="8">
        <v>7628</v>
      </c>
      <c r="G340" s="8">
        <v>3925</v>
      </c>
      <c r="H340" s="8">
        <v>2155</v>
      </c>
      <c r="I340" s="8">
        <v>891</v>
      </c>
    </row>
    <row r="341" spans="1:9" ht="13.5" customHeight="1">
      <c r="A341" s="10" t="s">
        <v>8</v>
      </c>
      <c r="B341" s="8">
        <v>28137</v>
      </c>
      <c r="C341" s="8">
        <v>5111</v>
      </c>
      <c r="D341" s="8">
        <v>6792</v>
      </c>
      <c r="E341" s="8">
        <v>7822</v>
      </c>
      <c r="F341" s="8">
        <v>4444</v>
      </c>
      <c r="G341" s="8">
        <v>2141</v>
      </c>
      <c r="H341" s="8">
        <v>1308</v>
      </c>
      <c r="I341" s="8">
        <v>519</v>
      </c>
    </row>
    <row r="342" spans="1:9" ht="13.5" customHeight="1">
      <c r="A342" s="10" t="s">
        <v>65</v>
      </c>
      <c r="B342" s="8">
        <v>1165</v>
      </c>
      <c r="C342" s="8">
        <v>306</v>
      </c>
      <c r="D342" s="8">
        <v>164</v>
      </c>
      <c r="E342" s="8">
        <v>196</v>
      </c>
      <c r="F342" s="8">
        <v>195</v>
      </c>
      <c r="G342" s="8">
        <v>97</v>
      </c>
      <c r="H342" s="8">
        <v>134</v>
      </c>
      <c r="I342" s="8">
        <v>73</v>
      </c>
    </row>
    <row r="343" spans="1:9" ht="13.5" customHeight="1">
      <c r="A343" s="106" t="s">
        <v>39</v>
      </c>
      <c r="B343" s="36"/>
      <c r="C343" s="36"/>
      <c r="D343" s="36"/>
      <c r="E343" s="36"/>
      <c r="F343" s="36"/>
      <c r="G343" s="36"/>
      <c r="H343" s="36"/>
      <c r="I343" s="36"/>
    </row>
    <row r="344" spans="1:9" ht="13.5" customHeight="1">
      <c r="A344" s="9" t="s">
        <v>10</v>
      </c>
      <c r="B344" s="8">
        <v>12587</v>
      </c>
      <c r="C344" s="8">
        <v>1544</v>
      </c>
      <c r="D344" s="8">
        <v>2433</v>
      </c>
      <c r="E344" s="8">
        <v>3280</v>
      </c>
      <c r="F344" s="8">
        <v>2056</v>
      </c>
      <c r="G344" s="8">
        <v>1280</v>
      </c>
      <c r="H344" s="8">
        <v>1223</v>
      </c>
      <c r="I344" s="8">
        <v>771</v>
      </c>
    </row>
    <row r="345" spans="1:9" ht="13.5" customHeight="1">
      <c r="A345" s="9" t="s">
        <v>11</v>
      </c>
      <c r="B345" s="8">
        <v>14630</v>
      </c>
      <c r="C345" s="8">
        <v>1478</v>
      </c>
      <c r="D345" s="8">
        <v>3848</v>
      </c>
      <c r="E345" s="8">
        <v>4773</v>
      </c>
      <c r="F345" s="8">
        <v>2392</v>
      </c>
      <c r="G345" s="8">
        <v>951</v>
      </c>
      <c r="H345" s="8">
        <v>790</v>
      </c>
      <c r="I345" s="8">
        <v>398</v>
      </c>
    </row>
    <row r="346" spans="1:9" ht="13.5" customHeight="1">
      <c r="A346" s="9" t="s">
        <v>12</v>
      </c>
      <c r="B346" s="8">
        <v>17925</v>
      </c>
      <c r="C346" s="8">
        <v>2731</v>
      </c>
      <c r="D346" s="8">
        <v>6402</v>
      </c>
      <c r="E346" s="8">
        <v>5912</v>
      </c>
      <c r="F346" s="8">
        <v>1722</v>
      </c>
      <c r="G346" s="8">
        <v>591</v>
      </c>
      <c r="H346" s="8">
        <v>358</v>
      </c>
      <c r="I346" s="8">
        <v>209</v>
      </c>
    </row>
    <row r="347" spans="1:9" ht="13.5" customHeight="1">
      <c r="A347" s="9" t="s">
        <v>13</v>
      </c>
      <c r="B347" s="8">
        <v>13813</v>
      </c>
      <c r="C347" s="8">
        <v>3381</v>
      </c>
      <c r="D347" s="8">
        <v>3170</v>
      </c>
      <c r="E347" s="8">
        <v>4245</v>
      </c>
      <c r="F347" s="8">
        <v>1726</v>
      </c>
      <c r="G347" s="8">
        <v>647</v>
      </c>
      <c r="H347" s="8">
        <v>423</v>
      </c>
      <c r="I347" s="8">
        <v>221</v>
      </c>
    </row>
    <row r="348" spans="1:9" ht="13.5" customHeight="1">
      <c r="A348" s="9" t="s">
        <v>14</v>
      </c>
      <c r="B348" s="8">
        <v>5839</v>
      </c>
      <c r="C348" s="8">
        <v>1168</v>
      </c>
      <c r="D348" s="8">
        <v>890</v>
      </c>
      <c r="E348" s="8">
        <v>1420</v>
      </c>
      <c r="F348" s="8">
        <v>1305</v>
      </c>
      <c r="G348" s="8">
        <v>562</v>
      </c>
      <c r="H348" s="8">
        <v>313</v>
      </c>
      <c r="I348" s="8">
        <v>181</v>
      </c>
    </row>
    <row r="349" spans="1:9" ht="13.5" customHeight="1">
      <c r="A349" s="9" t="s">
        <v>15</v>
      </c>
      <c r="B349" s="8">
        <v>1823</v>
      </c>
      <c r="C349" s="8">
        <v>44</v>
      </c>
      <c r="D349" s="8">
        <v>242</v>
      </c>
      <c r="E349" s="8">
        <v>430</v>
      </c>
      <c r="F349" s="8">
        <v>493</v>
      </c>
      <c r="G349" s="8">
        <v>400</v>
      </c>
      <c r="H349" s="8">
        <v>141</v>
      </c>
      <c r="I349" s="8">
        <v>73</v>
      </c>
    </row>
    <row r="350" spans="1:9" ht="13.5" customHeight="1">
      <c r="A350" s="9" t="s">
        <v>16</v>
      </c>
      <c r="B350" s="8">
        <v>1762</v>
      </c>
      <c r="C350" s="8">
        <v>106</v>
      </c>
      <c r="D350" s="8">
        <v>257</v>
      </c>
      <c r="E350" s="8">
        <v>290</v>
      </c>
      <c r="F350" s="8">
        <v>431</v>
      </c>
      <c r="G350" s="8">
        <v>396</v>
      </c>
      <c r="H350" s="8">
        <v>192</v>
      </c>
      <c r="I350" s="8">
        <v>90</v>
      </c>
    </row>
    <row r="351" spans="1:9" ht="13.5" customHeight="1">
      <c r="A351" s="9" t="s">
        <v>17</v>
      </c>
      <c r="B351" s="8">
        <v>1014</v>
      </c>
      <c r="C351" s="8">
        <v>172</v>
      </c>
      <c r="D351" s="8">
        <v>190</v>
      </c>
      <c r="E351" s="8">
        <v>188</v>
      </c>
      <c r="F351" s="8">
        <v>223</v>
      </c>
      <c r="G351" s="8">
        <v>93</v>
      </c>
      <c r="H351" s="8">
        <v>84</v>
      </c>
      <c r="I351" s="8">
        <v>64</v>
      </c>
    </row>
    <row r="352" spans="1:9" ht="13.5" customHeight="1">
      <c r="A352" s="9" t="s">
        <v>18</v>
      </c>
      <c r="B352" s="8">
        <v>966</v>
      </c>
      <c r="C352" s="8">
        <v>14</v>
      </c>
      <c r="D352" s="8">
        <v>97</v>
      </c>
      <c r="E352" s="8">
        <v>236</v>
      </c>
      <c r="F352" s="8">
        <v>241</v>
      </c>
      <c r="G352" s="8">
        <v>209</v>
      </c>
      <c r="H352" s="8">
        <v>113</v>
      </c>
      <c r="I352" s="8">
        <v>56</v>
      </c>
    </row>
    <row r="353" spans="1:9" ht="13.5" customHeight="1">
      <c r="A353" s="9" t="s">
        <v>19</v>
      </c>
      <c r="B353" s="8">
        <v>995</v>
      </c>
      <c r="C353" s="8">
        <v>26</v>
      </c>
      <c r="D353" s="8">
        <v>75</v>
      </c>
      <c r="E353" s="8">
        <v>135</v>
      </c>
      <c r="F353" s="8">
        <v>272</v>
      </c>
      <c r="G353" s="8">
        <v>305</v>
      </c>
      <c r="H353" s="8">
        <v>116</v>
      </c>
      <c r="I353" s="8">
        <v>66</v>
      </c>
    </row>
    <row r="354" spans="1:9" ht="13.5" customHeight="1">
      <c r="A354" s="9" t="s">
        <v>20</v>
      </c>
      <c r="B354" s="8">
        <v>2221</v>
      </c>
      <c r="C354" s="8">
        <v>101</v>
      </c>
      <c r="D354" s="8">
        <v>247</v>
      </c>
      <c r="E354" s="8">
        <v>408</v>
      </c>
      <c r="F354" s="8">
        <v>624</v>
      </c>
      <c r="G354" s="8">
        <v>475</v>
      </c>
      <c r="H354" s="8">
        <v>285</v>
      </c>
      <c r="I354" s="8">
        <v>81</v>
      </c>
    </row>
    <row r="355" spans="1:9" ht="13.5" customHeight="1">
      <c r="A355" s="9" t="s">
        <v>21</v>
      </c>
      <c r="B355" s="8">
        <v>2295</v>
      </c>
      <c r="C355" s="8">
        <v>238</v>
      </c>
      <c r="D355" s="8">
        <v>373</v>
      </c>
      <c r="E355" s="8">
        <v>456</v>
      </c>
      <c r="F355" s="8">
        <v>613</v>
      </c>
      <c r="G355" s="8">
        <v>342</v>
      </c>
      <c r="H355" s="8">
        <v>211</v>
      </c>
      <c r="I355" s="8">
        <v>62</v>
      </c>
    </row>
    <row r="356" spans="1:9" ht="13.5" customHeight="1">
      <c r="A356" s="9" t="s">
        <v>112</v>
      </c>
      <c r="B356" s="8">
        <v>1663</v>
      </c>
      <c r="C356" s="8">
        <v>154</v>
      </c>
      <c r="D356" s="8">
        <v>381</v>
      </c>
      <c r="E356" s="8">
        <v>480</v>
      </c>
      <c r="F356" s="8">
        <v>386</v>
      </c>
      <c r="G356" s="8">
        <v>182</v>
      </c>
      <c r="H356" s="8">
        <v>70</v>
      </c>
      <c r="I356" s="8">
        <v>10</v>
      </c>
    </row>
    <row r="357" spans="1:9" ht="13.5" customHeight="1">
      <c r="A357" s="106" t="s">
        <v>40</v>
      </c>
      <c r="B357" s="36"/>
      <c r="C357" s="36"/>
      <c r="D357" s="36"/>
      <c r="E357" s="36"/>
      <c r="F357" s="36"/>
      <c r="G357" s="36"/>
      <c r="H357" s="36"/>
      <c r="I357" s="36"/>
    </row>
    <row r="358" spans="1:9" ht="13.5" customHeight="1">
      <c r="A358" s="9" t="s">
        <v>23</v>
      </c>
      <c r="B358" s="8">
        <v>154</v>
      </c>
      <c r="C358" s="8">
        <v>62</v>
      </c>
      <c r="D358" s="8">
        <v>10</v>
      </c>
      <c r="E358" s="8">
        <v>23</v>
      </c>
      <c r="F358" s="8">
        <v>18</v>
      </c>
      <c r="G358" s="8">
        <v>12</v>
      </c>
      <c r="H358" s="8">
        <v>17</v>
      </c>
      <c r="I358" s="8">
        <v>12</v>
      </c>
    </row>
    <row r="359" spans="1:9" ht="13.5" customHeight="1">
      <c r="A359" s="9" t="s">
        <v>24</v>
      </c>
      <c r="B359" s="8">
        <v>1912</v>
      </c>
      <c r="C359" s="8">
        <v>231</v>
      </c>
      <c r="D359" s="8">
        <v>110</v>
      </c>
      <c r="E359" s="8">
        <v>234</v>
      </c>
      <c r="F359" s="8">
        <v>267</v>
      </c>
      <c r="G359" s="8">
        <v>295</v>
      </c>
      <c r="H359" s="8">
        <v>443</v>
      </c>
      <c r="I359" s="8">
        <v>332</v>
      </c>
    </row>
    <row r="360" spans="1:9" ht="13.5" customHeight="1">
      <c r="A360" s="9" t="s">
        <v>25</v>
      </c>
      <c r="B360" s="8">
        <v>4656</v>
      </c>
      <c r="C360" s="8">
        <v>306</v>
      </c>
      <c r="D360" s="8">
        <v>621</v>
      </c>
      <c r="E360" s="8">
        <v>843</v>
      </c>
      <c r="F360" s="8">
        <v>832</v>
      </c>
      <c r="G360" s="8">
        <v>609</v>
      </c>
      <c r="H360" s="8">
        <v>741</v>
      </c>
      <c r="I360" s="8">
        <v>704</v>
      </c>
    </row>
    <row r="361" spans="1:9" ht="13.5" customHeight="1">
      <c r="A361" s="9" t="s">
        <v>26</v>
      </c>
      <c r="B361" s="8">
        <v>11591</v>
      </c>
      <c r="C361" s="8">
        <v>1298</v>
      </c>
      <c r="D361" s="8">
        <v>3023</v>
      </c>
      <c r="E361" s="8">
        <v>3602</v>
      </c>
      <c r="F361" s="8">
        <v>1891</v>
      </c>
      <c r="G361" s="8">
        <v>875</v>
      </c>
      <c r="H361" s="8">
        <v>656</v>
      </c>
      <c r="I361" s="8">
        <v>246</v>
      </c>
    </row>
    <row r="362" spans="1:9" ht="13.5" customHeight="1">
      <c r="A362" s="9" t="s">
        <v>27</v>
      </c>
      <c r="B362" s="8">
        <v>19688</v>
      </c>
      <c r="C362" s="8">
        <v>2643</v>
      </c>
      <c r="D362" s="8">
        <v>5372</v>
      </c>
      <c r="E362" s="8">
        <v>5992</v>
      </c>
      <c r="F362" s="8">
        <v>3133</v>
      </c>
      <c r="G362" s="8">
        <v>1413</v>
      </c>
      <c r="H362" s="8">
        <v>850</v>
      </c>
      <c r="I362" s="8">
        <v>285</v>
      </c>
    </row>
    <row r="363" spans="1:9" ht="13.5" customHeight="1">
      <c r="A363" s="9" t="s">
        <v>28</v>
      </c>
      <c r="B363" s="8">
        <v>15683</v>
      </c>
      <c r="C363" s="8">
        <v>2755</v>
      </c>
      <c r="D363" s="8">
        <v>4003</v>
      </c>
      <c r="E363" s="8">
        <v>4433</v>
      </c>
      <c r="F363" s="8">
        <v>2395</v>
      </c>
      <c r="G363" s="8">
        <v>1179</v>
      </c>
      <c r="H363" s="8">
        <v>622</v>
      </c>
      <c r="I363" s="8">
        <v>296</v>
      </c>
    </row>
    <row r="364" spans="1:9" ht="13.5" customHeight="1">
      <c r="A364" s="9" t="s">
        <v>29</v>
      </c>
      <c r="B364" s="8">
        <v>11578</v>
      </c>
      <c r="C364" s="8">
        <v>1887</v>
      </c>
      <c r="D364" s="8">
        <v>2661</v>
      </c>
      <c r="E364" s="8">
        <v>3295</v>
      </c>
      <c r="F364" s="8">
        <v>2011</v>
      </c>
      <c r="G364" s="8">
        <v>1030</v>
      </c>
      <c r="H364" s="8">
        <v>496</v>
      </c>
      <c r="I364" s="8">
        <v>198</v>
      </c>
    </row>
    <row r="365" spans="1:9" ht="13.5" customHeight="1">
      <c r="A365" s="10" t="s">
        <v>30</v>
      </c>
      <c r="B365" s="8">
        <v>12271</v>
      </c>
      <c r="C365" s="8">
        <v>1975</v>
      </c>
      <c r="D365" s="8">
        <v>2805</v>
      </c>
      <c r="E365" s="8">
        <v>3831</v>
      </c>
      <c r="F365" s="8">
        <v>1937</v>
      </c>
      <c r="G365" s="8">
        <v>1020</v>
      </c>
      <c r="H365" s="8">
        <v>494</v>
      </c>
      <c r="I365" s="8">
        <v>209</v>
      </c>
    </row>
    <row r="366" spans="1:9" ht="13.5" customHeight="1">
      <c r="A366" s="106" t="s">
        <v>44</v>
      </c>
      <c r="B366" s="36"/>
      <c r="C366" s="36"/>
      <c r="D366" s="36"/>
      <c r="E366" s="36"/>
      <c r="F366" s="36"/>
      <c r="G366" s="36"/>
      <c r="H366" s="36"/>
      <c r="I366" s="36"/>
    </row>
    <row r="367" spans="1:9" ht="13.5" customHeight="1">
      <c r="A367" s="10" t="s">
        <v>45</v>
      </c>
      <c r="B367" s="8">
        <v>11722</v>
      </c>
      <c r="C367" s="8">
        <v>9968</v>
      </c>
      <c r="D367" s="8">
        <v>1564</v>
      </c>
      <c r="E367" s="8">
        <v>109</v>
      </c>
      <c r="F367" s="8">
        <v>42</v>
      </c>
      <c r="G367" s="8">
        <v>16</v>
      </c>
      <c r="H367" s="8">
        <v>15</v>
      </c>
      <c r="I367" s="8">
        <v>8</v>
      </c>
    </row>
    <row r="368" spans="1:9" ht="13.5" customHeight="1">
      <c r="A368" s="10" t="s">
        <v>46</v>
      </c>
      <c r="B368" s="8">
        <v>21073</v>
      </c>
      <c r="C368" s="8">
        <v>1165</v>
      </c>
      <c r="D368" s="8">
        <v>14858</v>
      </c>
      <c r="E368" s="8">
        <v>4667</v>
      </c>
      <c r="F368" s="8">
        <v>304</v>
      </c>
      <c r="G368" s="8">
        <v>54</v>
      </c>
      <c r="H368" s="8">
        <v>21</v>
      </c>
      <c r="I368" s="8">
        <v>4</v>
      </c>
    </row>
    <row r="369" spans="1:15" ht="13.5" customHeight="1">
      <c r="A369" s="10" t="s">
        <v>47</v>
      </c>
      <c r="B369" s="8">
        <v>24829</v>
      </c>
      <c r="C369" s="8">
        <v>23</v>
      </c>
      <c r="D369" s="8">
        <v>2144</v>
      </c>
      <c r="E369" s="8">
        <v>15913</v>
      </c>
      <c r="F369" s="8">
        <v>5864</v>
      </c>
      <c r="G369" s="8">
        <v>661</v>
      </c>
      <c r="H369" s="8">
        <v>195</v>
      </c>
      <c r="I369" s="8">
        <v>29</v>
      </c>
      <c r="N369"/>
      <c r="O369"/>
    </row>
    <row r="370" spans="1:15" ht="13.5" customHeight="1">
      <c r="A370" s="10" t="s">
        <v>48</v>
      </c>
      <c r="B370" s="8">
        <v>12613</v>
      </c>
      <c r="C370" s="8">
        <v>0</v>
      </c>
      <c r="D370" s="8">
        <v>33</v>
      </c>
      <c r="E370" s="8">
        <v>1504</v>
      </c>
      <c r="F370" s="8">
        <v>5846</v>
      </c>
      <c r="G370" s="8">
        <v>3961</v>
      </c>
      <c r="H370" s="8">
        <v>1122</v>
      </c>
      <c r="I370" s="8">
        <v>147</v>
      </c>
      <c r="M370"/>
      <c r="N370"/>
      <c r="O370"/>
    </row>
    <row r="371" spans="1:15" ht="13.5" customHeight="1">
      <c r="A371" s="10" t="s">
        <v>49</v>
      </c>
      <c r="B371" s="8">
        <v>4671</v>
      </c>
      <c r="C371" s="8">
        <v>1</v>
      </c>
      <c r="D371" s="8">
        <v>6</v>
      </c>
      <c r="E371" s="8">
        <v>53</v>
      </c>
      <c r="F371" s="8">
        <v>402</v>
      </c>
      <c r="G371" s="8">
        <v>1608</v>
      </c>
      <c r="H371" s="8">
        <v>2056</v>
      </c>
      <c r="I371" s="8">
        <v>545</v>
      </c>
      <c r="M371"/>
    </row>
    <row r="372" spans="1:15" ht="13.5" customHeight="1">
      <c r="A372" s="10" t="s">
        <v>98</v>
      </c>
      <c r="B372" s="8">
        <v>2625</v>
      </c>
      <c r="C372" s="8">
        <v>0</v>
      </c>
      <c r="D372" s="8">
        <v>0</v>
      </c>
      <c r="E372" s="8">
        <v>7</v>
      </c>
      <c r="F372" s="8">
        <v>26</v>
      </c>
      <c r="G372" s="8">
        <v>133</v>
      </c>
      <c r="H372" s="8">
        <v>910</v>
      </c>
      <c r="I372" s="8">
        <v>1549</v>
      </c>
    </row>
    <row r="373" spans="1:15" ht="13.5" customHeight="1">
      <c r="A373" s="161"/>
      <c r="C373" s="161"/>
      <c r="D373" s="161"/>
      <c r="E373" s="161"/>
      <c r="F373" s="161"/>
      <c r="G373" s="161"/>
      <c r="H373" s="161"/>
      <c r="J373"/>
      <c r="K373"/>
    </row>
    <row r="374" spans="1:15" ht="13.5" customHeight="1">
      <c r="A374" s="9" t="s">
        <v>84</v>
      </c>
      <c r="B374" s="161"/>
      <c r="C374" s="161"/>
      <c r="D374" s="161"/>
      <c r="E374" s="161"/>
      <c r="F374" s="161"/>
      <c r="G374" s="8"/>
      <c r="H374" s="8"/>
      <c r="J374"/>
      <c r="K374"/>
      <c r="L374"/>
    </row>
    <row r="375" spans="1:15" ht="13.5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L375"/>
    </row>
    <row r="376" spans="1:15" ht="13.5" customHeight="1">
      <c r="A376" s="46" t="s">
        <v>113</v>
      </c>
      <c r="B376" s="161"/>
      <c r="C376" s="161"/>
      <c r="D376" s="161"/>
      <c r="E376" s="161"/>
      <c r="F376" s="161"/>
      <c r="G376" s="161"/>
      <c r="H376" s="161"/>
      <c r="I376" s="161"/>
    </row>
    <row r="379" spans="1:15" ht="13.5" customHeight="1">
      <c r="A379" s="86" t="s">
        <v>114</v>
      </c>
      <c r="B379" s="87"/>
      <c r="C379" s="87"/>
      <c r="D379" s="87"/>
      <c r="E379" s="87"/>
      <c r="F379" s="159"/>
      <c r="G379" s="87"/>
      <c r="H379" s="53"/>
      <c r="I379" s="89"/>
    </row>
    <row r="380" spans="1:15" ht="13.5" customHeight="1">
      <c r="A380" s="58" t="s">
        <v>1</v>
      </c>
      <c r="B380" s="58"/>
      <c r="C380" s="58"/>
      <c r="D380" s="58"/>
      <c r="E380" s="58"/>
      <c r="F380" s="58"/>
      <c r="G380" s="58"/>
      <c r="H380" s="160"/>
      <c r="I380" s="62"/>
    </row>
    <row r="381" spans="1:15" ht="13.5" customHeight="1">
      <c r="A381" s="58"/>
      <c r="B381" s="58"/>
      <c r="C381" s="58"/>
      <c r="D381" s="58"/>
      <c r="E381" s="58"/>
      <c r="F381" s="58"/>
      <c r="G381" s="58"/>
      <c r="H381" s="58"/>
      <c r="I381" s="62"/>
    </row>
    <row r="382" spans="1:15" ht="13.5" customHeight="1">
      <c r="A382" s="114"/>
      <c r="B382" s="114"/>
      <c r="C382" s="116"/>
      <c r="D382" s="116"/>
      <c r="E382" s="116"/>
      <c r="F382" s="116"/>
      <c r="G382" s="116"/>
      <c r="H382" s="116"/>
      <c r="I382" s="117" t="s">
        <v>73</v>
      </c>
      <c r="K382" s="170" t="s">
        <v>126</v>
      </c>
      <c r="L382" s="7"/>
    </row>
    <row r="383" spans="1:15" ht="13.5" customHeight="1">
      <c r="A383" s="153"/>
      <c r="B383" s="152" t="s">
        <v>2</v>
      </c>
      <c r="C383" s="152" t="s">
        <v>99</v>
      </c>
      <c r="D383" s="154" t="s">
        <v>67</v>
      </c>
      <c r="E383" s="154" t="s">
        <v>68</v>
      </c>
      <c r="F383" s="154" t="s">
        <v>69</v>
      </c>
      <c r="G383" s="154" t="s">
        <v>70</v>
      </c>
      <c r="H383" s="154" t="s">
        <v>71</v>
      </c>
      <c r="I383" s="154" t="s">
        <v>72</v>
      </c>
      <c r="J383" s="7"/>
    </row>
    <row r="384" spans="1:15" ht="13.5" customHeight="1">
      <c r="A384" s="37" t="s">
        <v>2</v>
      </c>
      <c r="B384" s="36">
        <v>77213</v>
      </c>
      <c r="C384" s="36">
        <v>11072</v>
      </c>
      <c r="D384" s="36">
        <v>18493</v>
      </c>
      <c r="E384" s="36">
        <v>22238</v>
      </c>
      <c r="F384" s="36">
        <v>12417</v>
      </c>
      <c r="G384" s="36">
        <v>6400</v>
      </c>
      <c r="H384" s="36">
        <v>4289</v>
      </c>
      <c r="I384" s="36">
        <v>2304</v>
      </c>
    </row>
    <row r="385" spans="1:12" ht="13.5" customHeight="1">
      <c r="A385" s="37" t="s">
        <v>5</v>
      </c>
      <c r="B385" s="36"/>
      <c r="C385" s="36"/>
      <c r="D385" s="36"/>
      <c r="E385" s="36"/>
      <c r="F385" s="36"/>
      <c r="G385" s="36"/>
      <c r="H385" s="36"/>
      <c r="I385" s="36"/>
      <c r="L385" s="35"/>
    </row>
    <row r="386" spans="1:12" ht="13.5" customHeight="1">
      <c r="A386" s="9" t="s">
        <v>6</v>
      </c>
      <c r="B386" s="8">
        <v>2213</v>
      </c>
      <c r="C386" s="8">
        <v>16</v>
      </c>
      <c r="D386" s="8">
        <v>38</v>
      </c>
      <c r="E386" s="8">
        <v>151</v>
      </c>
      <c r="F386" s="8">
        <v>217</v>
      </c>
      <c r="G386" s="8">
        <v>269</v>
      </c>
      <c r="H386" s="8">
        <v>721</v>
      </c>
      <c r="I386" s="8">
        <v>801</v>
      </c>
      <c r="J386" s="35"/>
    </row>
    <row r="387" spans="1:12" ht="13.5" customHeight="1">
      <c r="A387" s="9" t="s">
        <v>7</v>
      </c>
      <c r="B387" s="8">
        <v>45747</v>
      </c>
      <c r="C387" s="8">
        <v>5692</v>
      </c>
      <c r="D387" s="8">
        <v>11543</v>
      </c>
      <c r="E387" s="8">
        <v>14050</v>
      </c>
      <c r="F387" s="8">
        <v>7559</v>
      </c>
      <c r="G387" s="8">
        <v>3909</v>
      </c>
      <c r="H387" s="8">
        <v>2115</v>
      </c>
      <c r="I387" s="8">
        <v>879</v>
      </c>
    </row>
    <row r="388" spans="1:12" ht="13.5" customHeight="1">
      <c r="A388" s="10" t="s">
        <v>8</v>
      </c>
      <c r="B388" s="8">
        <v>28002</v>
      </c>
      <c r="C388" s="8">
        <v>5044</v>
      </c>
      <c r="D388" s="8">
        <v>6718</v>
      </c>
      <c r="E388" s="8">
        <v>7821</v>
      </c>
      <c r="F388" s="8">
        <v>4436</v>
      </c>
      <c r="G388" s="8">
        <v>2129</v>
      </c>
      <c r="H388" s="8">
        <v>1307</v>
      </c>
      <c r="I388" s="8">
        <v>547</v>
      </c>
    </row>
    <row r="389" spans="1:12" ht="13.5" customHeight="1">
      <c r="A389" s="10" t="s">
        <v>65</v>
      </c>
      <c r="B389" s="8">
        <v>1251</v>
      </c>
      <c r="C389" s="8">
        <v>320</v>
      </c>
      <c r="D389" s="8">
        <v>194</v>
      </c>
      <c r="E389" s="8">
        <v>216</v>
      </c>
      <c r="F389" s="8">
        <v>205</v>
      </c>
      <c r="G389" s="8">
        <v>93</v>
      </c>
      <c r="H389" s="8">
        <v>146</v>
      </c>
      <c r="I389" s="8">
        <v>77</v>
      </c>
    </row>
    <row r="390" spans="1:12" ht="13.5" customHeight="1">
      <c r="A390" s="106" t="s">
        <v>39</v>
      </c>
      <c r="B390" s="36"/>
      <c r="C390" s="36"/>
      <c r="D390" s="36"/>
      <c r="E390" s="36"/>
      <c r="F390" s="36"/>
      <c r="G390" s="36"/>
      <c r="H390" s="36"/>
      <c r="I390" s="36"/>
      <c r="K390" s="7"/>
    </row>
    <row r="391" spans="1:12" ht="13.5" customHeight="1">
      <c r="A391" s="9" t="s">
        <v>10</v>
      </c>
      <c r="B391" s="8">
        <v>12600</v>
      </c>
      <c r="C391" s="8">
        <v>1545</v>
      </c>
      <c r="D391" s="8">
        <v>2417</v>
      </c>
      <c r="E391" s="8">
        <v>3316</v>
      </c>
      <c r="F391" s="8">
        <v>2036</v>
      </c>
      <c r="G391" s="8">
        <v>1283</v>
      </c>
      <c r="H391" s="8">
        <v>1220</v>
      </c>
      <c r="I391" s="8">
        <v>783</v>
      </c>
    </row>
    <row r="392" spans="1:12" ht="13.5" customHeight="1">
      <c r="A392" s="9" t="s">
        <v>11</v>
      </c>
      <c r="B392" s="8">
        <v>14633</v>
      </c>
      <c r="C392" s="8">
        <v>1442</v>
      </c>
      <c r="D392" s="8">
        <v>3850</v>
      </c>
      <c r="E392" s="8">
        <v>4800</v>
      </c>
      <c r="F392" s="8">
        <v>2396</v>
      </c>
      <c r="G392" s="8">
        <v>955</v>
      </c>
      <c r="H392" s="8">
        <v>786</v>
      </c>
      <c r="I392" s="8">
        <v>404</v>
      </c>
    </row>
    <row r="393" spans="1:12" ht="13.5" customHeight="1">
      <c r="A393" s="9" t="s">
        <v>12</v>
      </c>
      <c r="B393" s="8">
        <v>17932</v>
      </c>
      <c r="C393" s="8">
        <v>2732</v>
      </c>
      <c r="D393" s="8">
        <v>6390</v>
      </c>
      <c r="E393" s="8">
        <v>5920</v>
      </c>
      <c r="F393" s="8">
        <v>1728</v>
      </c>
      <c r="G393" s="8">
        <v>590</v>
      </c>
      <c r="H393" s="8">
        <v>361</v>
      </c>
      <c r="I393" s="8">
        <v>211</v>
      </c>
    </row>
    <row r="394" spans="1:12" ht="13.5" customHeight="1">
      <c r="A394" s="9" t="s">
        <v>13</v>
      </c>
      <c r="B394" s="8">
        <v>13815</v>
      </c>
      <c r="C394" s="8">
        <v>3390</v>
      </c>
      <c r="D394" s="8">
        <v>3163</v>
      </c>
      <c r="E394" s="8">
        <v>4240</v>
      </c>
      <c r="F394" s="8">
        <v>1729</v>
      </c>
      <c r="G394" s="8">
        <v>647</v>
      </c>
      <c r="H394" s="8">
        <v>425</v>
      </c>
      <c r="I394" s="8">
        <v>221</v>
      </c>
    </row>
    <row r="395" spans="1:12" ht="13.5" customHeight="1">
      <c r="A395" s="9" t="s">
        <v>14</v>
      </c>
      <c r="B395" s="8">
        <v>5824</v>
      </c>
      <c r="C395" s="8">
        <v>1166</v>
      </c>
      <c r="D395" s="8">
        <v>886</v>
      </c>
      <c r="E395" s="8">
        <v>1421</v>
      </c>
      <c r="F395" s="8">
        <v>1300</v>
      </c>
      <c r="G395" s="8">
        <v>562</v>
      </c>
      <c r="H395" s="8">
        <v>308</v>
      </c>
      <c r="I395" s="8">
        <v>181</v>
      </c>
    </row>
    <row r="396" spans="1:12" ht="13.5" customHeight="1">
      <c r="A396" s="9" t="s">
        <v>15</v>
      </c>
      <c r="B396" s="8">
        <v>1821</v>
      </c>
      <c r="C396" s="8">
        <v>43</v>
      </c>
      <c r="D396" s="8">
        <v>243</v>
      </c>
      <c r="E396" s="8">
        <v>427</v>
      </c>
      <c r="F396" s="8">
        <v>496</v>
      </c>
      <c r="G396" s="8">
        <v>397</v>
      </c>
      <c r="H396" s="8">
        <v>141</v>
      </c>
      <c r="I396" s="8">
        <v>74</v>
      </c>
    </row>
    <row r="397" spans="1:12" ht="13.5" customHeight="1">
      <c r="A397" s="9" t="s">
        <v>16</v>
      </c>
      <c r="B397" s="8">
        <v>1759</v>
      </c>
      <c r="C397" s="8">
        <v>107</v>
      </c>
      <c r="D397" s="8">
        <v>261</v>
      </c>
      <c r="E397" s="8">
        <v>288</v>
      </c>
      <c r="F397" s="8">
        <v>428</v>
      </c>
      <c r="G397" s="8">
        <v>394</v>
      </c>
      <c r="H397" s="8">
        <v>190</v>
      </c>
      <c r="I397" s="8">
        <v>91</v>
      </c>
    </row>
    <row r="398" spans="1:12" ht="13.5" customHeight="1">
      <c r="A398" s="9" t="s">
        <v>17</v>
      </c>
      <c r="B398" s="8">
        <v>1014</v>
      </c>
      <c r="C398" s="8">
        <v>172</v>
      </c>
      <c r="D398" s="8">
        <v>190</v>
      </c>
      <c r="E398" s="8">
        <v>188</v>
      </c>
      <c r="F398" s="8">
        <v>223</v>
      </c>
      <c r="G398" s="8">
        <v>93</v>
      </c>
      <c r="H398" s="8">
        <v>84</v>
      </c>
      <c r="I398" s="8">
        <v>64</v>
      </c>
    </row>
    <row r="399" spans="1:12" ht="13.5" customHeight="1">
      <c r="A399" s="9" t="s">
        <v>18</v>
      </c>
      <c r="B399" s="8">
        <v>966</v>
      </c>
      <c r="C399" s="8">
        <v>14</v>
      </c>
      <c r="D399" s="8">
        <v>97</v>
      </c>
      <c r="E399" s="8">
        <v>236</v>
      </c>
      <c r="F399" s="8">
        <v>242</v>
      </c>
      <c r="G399" s="8">
        <v>208</v>
      </c>
      <c r="H399" s="8">
        <v>113</v>
      </c>
      <c r="I399" s="8">
        <v>56</v>
      </c>
    </row>
    <row r="400" spans="1:12" ht="13.5" customHeight="1">
      <c r="A400" s="9" t="s">
        <v>19</v>
      </c>
      <c r="B400" s="8">
        <v>995</v>
      </c>
      <c r="C400" s="8">
        <v>26</v>
      </c>
      <c r="D400" s="8">
        <v>75</v>
      </c>
      <c r="E400" s="8">
        <v>135</v>
      </c>
      <c r="F400" s="8">
        <v>272</v>
      </c>
      <c r="G400" s="8">
        <v>305</v>
      </c>
      <c r="H400" s="8">
        <v>116</v>
      </c>
      <c r="I400" s="8">
        <v>66</v>
      </c>
    </row>
    <row r="401" spans="1:15" ht="13.5" customHeight="1">
      <c r="A401" s="9" t="s">
        <v>20</v>
      </c>
      <c r="B401" s="8">
        <v>2221</v>
      </c>
      <c r="C401" s="8">
        <v>101</v>
      </c>
      <c r="D401" s="8">
        <v>247</v>
      </c>
      <c r="E401" s="8">
        <v>408</v>
      </c>
      <c r="F401" s="8">
        <v>624</v>
      </c>
      <c r="G401" s="8">
        <v>475</v>
      </c>
      <c r="H401" s="8">
        <v>286</v>
      </c>
      <c r="I401" s="8">
        <v>80</v>
      </c>
    </row>
    <row r="402" spans="1:15" ht="13.5" customHeight="1">
      <c r="A402" s="9" t="s">
        <v>21</v>
      </c>
      <c r="B402" s="8">
        <v>2292</v>
      </c>
      <c r="C402" s="8">
        <v>238</v>
      </c>
      <c r="D402" s="8">
        <v>375</v>
      </c>
      <c r="E402" s="8">
        <v>459</v>
      </c>
      <c r="F402" s="8">
        <v>608</v>
      </c>
      <c r="G402" s="8">
        <v>338</v>
      </c>
      <c r="H402" s="8">
        <v>210</v>
      </c>
      <c r="I402" s="8">
        <v>64</v>
      </c>
    </row>
    <row r="403" spans="1:15" ht="13.5" customHeight="1">
      <c r="A403" s="9" t="s">
        <v>112</v>
      </c>
      <c r="B403" s="8">
        <v>1341</v>
      </c>
      <c r="C403" s="8">
        <v>96</v>
      </c>
      <c r="D403" s="8">
        <v>299</v>
      </c>
      <c r="E403" s="8">
        <v>400</v>
      </c>
      <c r="F403" s="8">
        <v>335</v>
      </c>
      <c r="G403" s="8">
        <v>153</v>
      </c>
      <c r="H403" s="8">
        <v>49</v>
      </c>
      <c r="I403" s="8">
        <v>9</v>
      </c>
      <c r="J403" s="45"/>
    </row>
    <row r="404" spans="1:15" ht="13.5" customHeight="1">
      <c r="A404" s="106" t="s">
        <v>40</v>
      </c>
      <c r="B404" s="36"/>
      <c r="C404" s="36"/>
      <c r="D404" s="36"/>
      <c r="E404" s="36"/>
      <c r="F404" s="36"/>
      <c r="G404" s="36"/>
      <c r="H404" s="36"/>
      <c r="I404" s="36"/>
    </row>
    <row r="405" spans="1:15" ht="13.5" customHeight="1">
      <c r="A405" s="9" t="s">
        <v>23</v>
      </c>
      <c r="B405" s="8">
        <v>157</v>
      </c>
      <c r="C405" s="8">
        <v>62</v>
      </c>
      <c r="D405" s="8">
        <v>10</v>
      </c>
      <c r="E405" s="8">
        <v>25</v>
      </c>
      <c r="F405" s="8">
        <v>19</v>
      </c>
      <c r="G405" s="8">
        <v>12</v>
      </c>
      <c r="H405" s="8">
        <v>18</v>
      </c>
      <c r="I405" s="8">
        <v>11</v>
      </c>
    </row>
    <row r="406" spans="1:15" ht="13.5" customHeight="1">
      <c r="A406" s="9" t="s">
        <v>24</v>
      </c>
      <c r="B406" s="8">
        <v>1909</v>
      </c>
      <c r="C406" s="8">
        <v>231</v>
      </c>
      <c r="D406" s="8">
        <v>108</v>
      </c>
      <c r="E406" s="8">
        <v>239</v>
      </c>
      <c r="F406" s="8">
        <v>264</v>
      </c>
      <c r="G406" s="8">
        <v>294</v>
      </c>
      <c r="H406" s="8">
        <v>445</v>
      </c>
      <c r="I406" s="8">
        <v>328</v>
      </c>
    </row>
    <row r="407" spans="1:15" ht="13.5" customHeight="1">
      <c r="A407" s="9" t="s">
        <v>25</v>
      </c>
      <c r="B407" s="8">
        <v>4625</v>
      </c>
      <c r="C407" s="8">
        <v>309</v>
      </c>
      <c r="D407" s="8">
        <v>622</v>
      </c>
      <c r="E407" s="8">
        <v>834</v>
      </c>
      <c r="F407" s="8">
        <v>825</v>
      </c>
      <c r="G407" s="8">
        <v>598</v>
      </c>
      <c r="H407" s="8">
        <v>725</v>
      </c>
      <c r="I407" s="8">
        <v>712</v>
      </c>
    </row>
    <row r="408" spans="1:15" ht="13.5" customHeight="1">
      <c r="A408" s="9" t="s">
        <v>26</v>
      </c>
      <c r="B408" s="8">
        <v>11607</v>
      </c>
      <c r="C408" s="8">
        <v>1304</v>
      </c>
      <c r="D408" s="8">
        <v>3030</v>
      </c>
      <c r="E408" s="8">
        <v>3617</v>
      </c>
      <c r="F408" s="8">
        <v>1885</v>
      </c>
      <c r="G408" s="8">
        <v>868</v>
      </c>
      <c r="H408" s="8">
        <v>655</v>
      </c>
      <c r="I408" s="8">
        <v>248</v>
      </c>
    </row>
    <row r="409" spans="1:15" ht="13.5" customHeight="1">
      <c r="A409" s="9" t="s">
        <v>27</v>
      </c>
      <c r="B409" s="8">
        <v>19806</v>
      </c>
      <c r="C409" s="8">
        <v>2613</v>
      </c>
      <c r="D409" s="8">
        <v>5408</v>
      </c>
      <c r="E409" s="8">
        <v>6052</v>
      </c>
      <c r="F409" s="8">
        <v>3149</v>
      </c>
      <c r="G409" s="8">
        <v>1429</v>
      </c>
      <c r="H409" s="8">
        <v>857</v>
      </c>
      <c r="I409" s="8">
        <v>298</v>
      </c>
    </row>
    <row r="410" spans="1:15" ht="13.5" customHeight="1">
      <c r="A410" s="9" t="s">
        <v>28</v>
      </c>
      <c r="B410" s="8">
        <v>15546</v>
      </c>
      <c r="C410" s="8">
        <v>2695</v>
      </c>
      <c r="D410" s="8">
        <v>3933</v>
      </c>
      <c r="E410" s="8">
        <v>4452</v>
      </c>
      <c r="F410" s="8">
        <v>2386</v>
      </c>
      <c r="G410" s="8">
        <v>1171</v>
      </c>
      <c r="H410" s="8">
        <v>617</v>
      </c>
      <c r="I410" s="8">
        <v>292</v>
      </c>
    </row>
    <row r="411" spans="1:15" ht="13.5" customHeight="1">
      <c r="A411" s="9" t="s">
        <v>29</v>
      </c>
      <c r="B411" s="8">
        <v>11504</v>
      </c>
      <c r="C411" s="8">
        <v>1892</v>
      </c>
      <c r="D411" s="8">
        <v>2679</v>
      </c>
      <c r="E411" s="8">
        <v>3232</v>
      </c>
      <c r="F411" s="8">
        <v>2000</v>
      </c>
      <c r="G411" s="8">
        <v>1024</v>
      </c>
      <c r="H411" s="8">
        <v>477</v>
      </c>
      <c r="I411" s="8">
        <v>200</v>
      </c>
    </row>
    <row r="412" spans="1:15" ht="13.5" customHeight="1">
      <c r="A412" s="10" t="s">
        <v>30</v>
      </c>
      <c r="B412" s="8">
        <v>12059</v>
      </c>
      <c r="C412" s="8">
        <v>1966</v>
      </c>
      <c r="D412" s="8">
        <v>2703</v>
      </c>
      <c r="E412" s="8">
        <v>3787</v>
      </c>
      <c r="F412" s="8">
        <v>1889</v>
      </c>
      <c r="G412" s="8">
        <v>1004</v>
      </c>
      <c r="H412" s="8">
        <v>495</v>
      </c>
      <c r="I412" s="8">
        <v>215</v>
      </c>
    </row>
    <row r="413" spans="1:15" ht="13.5" customHeight="1">
      <c r="A413" s="106" t="s">
        <v>44</v>
      </c>
      <c r="B413" s="36"/>
      <c r="C413" s="36"/>
      <c r="D413" s="36"/>
      <c r="E413" s="36"/>
      <c r="F413" s="36"/>
      <c r="G413" s="36"/>
      <c r="H413" s="36"/>
      <c r="I413" s="36"/>
      <c r="N413"/>
      <c r="O413"/>
    </row>
    <row r="414" spans="1:15" ht="13.5" customHeight="1">
      <c r="A414" s="10" t="s">
        <v>45</v>
      </c>
      <c r="B414" s="8">
        <v>11622</v>
      </c>
      <c r="C414" s="8">
        <v>9878</v>
      </c>
      <c r="D414" s="8">
        <v>1545</v>
      </c>
      <c r="E414" s="8">
        <v>117</v>
      </c>
      <c r="F414" s="8">
        <v>39</v>
      </c>
      <c r="G414" s="8">
        <v>16</v>
      </c>
      <c r="H414" s="8">
        <v>15</v>
      </c>
      <c r="I414" s="8">
        <v>12</v>
      </c>
      <c r="N414"/>
      <c r="O414"/>
    </row>
    <row r="415" spans="1:15" ht="13.5" customHeight="1">
      <c r="A415" s="10" t="s">
        <v>46</v>
      </c>
      <c r="B415" s="8">
        <v>20995</v>
      </c>
      <c r="C415" s="8">
        <v>1171</v>
      </c>
      <c r="D415" s="8">
        <v>14757</v>
      </c>
      <c r="E415" s="8">
        <v>4684</v>
      </c>
      <c r="F415" s="8">
        <v>305</v>
      </c>
      <c r="G415" s="8">
        <v>53</v>
      </c>
      <c r="H415" s="8">
        <v>21</v>
      </c>
      <c r="I415" s="8">
        <v>4</v>
      </c>
    </row>
    <row r="416" spans="1:15" ht="13.5" customHeight="1">
      <c r="A416" s="10" t="s">
        <v>47</v>
      </c>
      <c r="B416" s="8">
        <v>24737</v>
      </c>
      <c r="C416" s="8">
        <v>22</v>
      </c>
      <c r="D416" s="8">
        <v>2147</v>
      </c>
      <c r="E416" s="8">
        <v>15857</v>
      </c>
      <c r="F416" s="8">
        <v>5823</v>
      </c>
      <c r="G416" s="8">
        <v>660</v>
      </c>
      <c r="H416" s="8">
        <v>194</v>
      </c>
      <c r="I416" s="8">
        <v>34</v>
      </c>
      <c r="M416"/>
    </row>
    <row r="417" spans="1:13" ht="13.5" customHeight="1">
      <c r="A417" s="10" t="s">
        <v>48</v>
      </c>
      <c r="B417" s="8">
        <v>12546</v>
      </c>
      <c r="C417" s="8">
        <v>1</v>
      </c>
      <c r="D417" s="8">
        <v>35</v>
      </c>
      <c r="E417" s="8">
        <v>1520</v>
      </c>
      <c r="F417" s="8">
        <v>5823</v>
      </c>
      <c r="G417" s="8">
        <v>3939</v>
      </c>
      <c r="H417" s="8">
        <v>1081</v>
      </c>
      <c r="I417" s="8">
        <v>147</v>
      </c>
      <c r="M417"/>
    </row>
    <row r="418" spans="1:13" ht="13.5" customHeight="1">
      <c r="A418" s="10" t="s">
        <v>49</v>
      </c>
      <c r="B418" s="8">
        <v>4667</v>
      </c>
      <c r="C418" s="8">
        <v>0</v>
      </c>
      <c r="D418" s="8">
        <v>7</v>
      </c>
      <c r="E418" s="8">
        <v>53</v>
      </c>
      <c r="F418" s="8">
        <v>399</v>
      </c>
      <c r="G418" s="8">
        <v>1596</v>
      </c>
      <c r="H418" s="8">
        <v>2060</v>
      </c>
      <c r="I418" s="8">
        <v>552</v>
      </c>
    </row>
    <row r="419" spans="1:13" ht="13.5" customHeight="1">
      <c r="A419" s="10" t="s">
        <v>98</v>
      </c>
      <c r="B419" s="8">
        <v>2646</v>
      </c>
      <c r="C419" s="8">
        <v>0</v>
      </c>
      <c r="D419" s="8">
        <v>2</v>
      </c>
      <c r="E419" s="8">
        <v>7</v>
      </c>
      <c r="F419" s="8">
        <v>28</v>
      </c>
      <c r="G419" s="8">
        <v>136</v>
      </c>
      <c r="H419" s="8">
        <v>918</v>
      </c>
      <c r="I419" s="8">
        <v>1555</v>
      </c>
    </row>
    <row r="420" spans="1:13" ht="13.5" customHeight="1">
      <c r="A420" s="161"/>
      <c r="C420" s="161"/>
      <c r="D420" s="161"/>
      <c r="E420" s="161"/>
      <c r="F420" s="161"/>
      <c r="G420" s="161"/>
      <c r="H420" s="161"/>
      <c r="J420"/>
      <c r="K420"/>
    </row>
    <row r="421" spans="1:13" ht="13.5" customHeight="1">
      <c r="A421" s="9" t="s">
        <v>84</v>
      </c>
      <c r="B421" s="161"/>
      <c r="C421" s="161"/>
      <c r="D421" s="161"/>
      <c r="E421" s="161"/>
      <c r="F421" s="161"/>
      <c r="G421" s="8"/>
      <c r="H421" s="8"/>
      <c r="J421"/>
      <c r="K421"/>
      <c r="L421"/>
    </row>
    <row r="422" spans="1:13" ht="13.5" customHeight="1">
      <c r="L422"/>
    </row>
    <row r="423" spans="1:13" ht="13.5" customHeight="1">
      <c r="A423" s="46" t="s">
        <v>113</v>
      </c>
    </row>
    <row r="424" spans="1:13" ht="13.5" customHeight="1">
      <c r="A424" s="46"/>
    </row>
    <row r="426" spans="1:13" ht="13.5" customHeight="1">
      <c r="A426" s="86" t="s">
        <v>106</v>
      </c>
      <c r="B426" s="87"/>
      <c r="C426" s="87"/>
      <c r="D426" s="87"/>
      <c r="E426" s="87"/>
      <c r="F426" s="88"/>
      <c r="G426" s="87"/>
      <c r="H426" s="53"/>
      <c r="I426" s="89"/>
    </row>
    <row r="427" spans="1:13" ht="13.5" customHeight="1">
      <c r="A427" s="58" t="s">
        <v>1</v>
      </c>
      <c r="B427" s="61"/>
      <c r="C427" s="61"/>
      <c r="D427" s="58"/>
      <c r="E427" s="58"/>
      <c r="F427" s="58"/>
      <c r="G427" s="58"/>
      <c r="H427" s="35"/>
      <c r="I427" s="62"/>
    </row>
    <row r="428" spans="1:13" ht="13.5" customHeight="1">
      <c r="A428" s="58"/>
      <c r="B428" s="61"/>
      <c r="C428" s="61"/>
      <c r="D428" s="58"/>
      <c r="E428" s="58"/>
      <c r="F428" s="58"/>
      <c r="G428" s="58"/>
      <c r="H428" s="58"/>
      <c r="I428" s="62"/>
      <c r="L428" s="7"/>
    </row>
    <row r="429" spans="1:13" ht="13.5" customHeight="1">
      <c r="A429" s="114"/>
      <c r="B429" s="115"/>
      <c r="C429" s="116"/>
      <c r="D429" s="116"/>
      <c r="E429" s="116"/>
      <c r="F429" s="116"/>
      <c r="G429" s="116"/>
      <c r="H429" s="116"/>
      <c r="I429" s="117" t="s">
        <v>73</v>
      </c>
      <c r="J429" s="7"/>
      <c r="K429" s="170" t="s">
        <v>126</v>
      </c>
    </row>
    <row r="430" spans="1:13" ht="13.5" customHeight="1">
      <c r="A430" s="153"/>
      <c r="B430" s="152" t="s">
        <v>2</v>
      </c>
      <c r="C430" s="152" t="s">
        <v>99</v>
      </c>
      <c r="D430" s="154" t="s">
        <v>67</v>
      </c>
      <c r="E430" s="154" t="s">
        <v>68</v>
      </c>
      <c r="F430" s="154" t="s">
        <v>69</v>
      </c>
      <c r="G430" s="154" t="s">
        <v>70</v>
      </c>
      <c r="H430" s="154" t="s">
        <v>71</v>
      </c>
      <c r="I430" s="154" t="s">
        <v>72</v>
      </c>
    </row>
    <row r="431" spans="1:13" ht="13.5" customHeight="1">
      <c r="A431" s="37" t="s">
        <v>2</v>
      </c>
      <c r="B431" s="36">
        <v>75888</v>
      </c>
      <c r="C431" s="36">
        <v>10986</v>
      </c>
      <c r="D431" s="36">
        <v>18226</v>
      </c>
      <c r="E431" s="36">
        <v>21822</v>
      </c>
      <c r="F431" s="36">
        <v>12047</v>
      </c>
      <c r="G431" s="36">
        <v>6273</v>
      </c>
      <c r="H431" s="36">
        <v>4245</v>
      </c>
      <c r="I431" s="36">
        <v>2289</v>
      </c>
    </row>
    <row r="432" spans="1:13" ht="13.5" customHeight="1">
      <c r="A432" s="37" t="s">
        <v>5</v>
      </c>
      <c r="B432" s="36"/>
      <c r="C432" s="36"/>
      <c r="D432" s="36"/>
      <c r="E432" s="36"/>
      <c r="F432" s="36"/>
      <c r="G432" s="36"/>
      <c r="H432" s="36"/>
      <c r="I432" s="36"/>
    </row>
    <row r="433" spans="1:11" ht="13.5" customHeight="1">
      <c r="A433" s="9" t="s">
        <v>6</v>
      </c>
      <c r="B433" s="8">
        <v>2228</v>
      </c>
      <c r="C433" s="8">
        <v>15</v>
      </c>
      <c r="D433" s="8">
        <v>35</v>
      </c>
      <c r="E433" s="8">
        <v>158</v>
      </c>
      <c r="F433" s="8">
        <v>223</v>
      </c>
      <c r="G433" s="8">
        <v>273</v>
      </c>
      <c r="H433" s="8">
        <v>720</v>
      </c>
      <c r="I433" s="8">
        <v>804</v>
      </c>
    </row>
    <row r="434" spans="1:11" ht="13.5" customHeight="1">
      <c r="A434" s="9" t="s">
        <v>7</v>
      </c>
      <c r="B434" s="8">
        <v>45203</v>
      </c>
      <c r="C434" s="8">
        <v>5744</v>
      </c>
      <c r="D434" s="8">
        <v>11448</v>
      </c>
      <c r="E434" s="8">
        <v>13859</v>
      </c>
      <c r="F434" s="8">
        <v>7347</v>
      </c>
      <c r="G434" s="8">
        <v>3834</v>
      </c>
      <c r="H434" s="8">
        <v>2088</v>
      </c>
      <c r="I434" s="8">
        <v>883</v>
      </c>
    </row>
    <row r="435" spans="1:11" ht="13.5" customHeight="1">
      <c r="A435" s="10" t="s">
        <v>8</v>
      </c>
      <c r="B435" s="8">
        <v>27289</v>
      </c>
      <c r="C435" s="8">
        <v>4920</v>
      </c>
      <c r="D435" s="8">
        <v>6559</v>
      </c>
      <c r="E435" s="8">
        <v>7599</v>
      </c>
      <c r="F435" s="8">
        <v>4285</v>
      </c>
      <c r="G435" s="8">
        <v>2078</v>
      </c>
      <c r="H435" s="8">
        <v>1312</v>
      </c>
      <c r="I435" s="8">
        <v>536</v>
      </c>
      <c r="K435" s="7"/>
    </row>
    <row r="436" spans="1:11" ht="13.5" customHeight="1">
      <c r="A436" s="10" t="s">
        <v>65</v>
      </c>
      <c r="B436" s="8">
        <v>1168</v>
      </c>
      <c r="C436" s="8">
        <v>307</v>
      </c>
      <c r="D436" s="8">
        <v>184</v>
      </c>
      <c r="E436" s="8">
        <v>206</v>
      </c>
      <c r="F436" s="8">
        <v>192</v>
      </c>
      <c r="G436" s="8">
        <v>88</v>
      </c>
      <c r="H436" s="8">
        <v>125</v>
      </c>
      <c r="I436" s="8">
        <v>66</v>
      </c>
    </row>
    <row r="437" spans="1:11" ht="13.5" customHeight="1">
      <c r="A437" s="106" t="s">
        <v>39</v>
      </c>
      <c r="B437" s="36"/>
      <c r="C437" s="36"/>
      <c r="D437" s="36"/>
      <c r="E437" s="36"/>
      <c r="F437" s="36"/>
      <c r="G437" s="36"/>
      <c r="H437" s="36"/>
      <c r="I437" s="36"/>
    </row>
    <row r="438" spans="1:11" ht="13.5" customHeight="1">
      <c r="A438" s="9" t="s">
        <v>10</v>
      </c>
      <c r="B438" s="8">
        <v>12547</v>
      </c>
      <c r="C438" s="8">
        <v>1540</v>
      </c>
      <c r="D438" s="8">
        <v>2385</v>
      </c>
      <c r="E438" s="8">
        <v>3315</v>
      </c>
      <c r="F438" s="8">
        <v>2019</v>
      </c>
      <c r="G438" s="8">
        <v>1287</v>
      </c>
      <c r="H438" s="8">
        <v>1225</v>
      </c>
      <c r="I438" s="8">
        <v>776</v>
      </c>
    </row>
    <row r="439" spans="1:11" ht="13.5" customHeight="1">
      <c r="A439" s="9" t="s">
        <v>11</v>
      </c>
      <c r="B439" s="8">
        <v>14619</v>
      </c>
      <c r="C439" s="8">
        <v>1449</v>
      </c>
      <c r="D439" s="8">
        <v>3851</v>
      </c>
      <c r="E439" s="8">
        <v>4795</v>
      </c>
      <c r="F439" s="8">
        <v>2385</v>
      </c>
      <c r="G439" s="8">
        <v>960</v>
      </c>
      <c r="H439" s="8">
        <v>775</v>
      </c>
      <c r="I439" s="8">
        <v>404</v>
      </c>
    </row>
    <row r="440" spans="1:11" ht="13.5" customHeight="1">
      <c r="A440" s="9" t="s">
        <v>12</v>
      </c>
      <c r="B440" s="8">
        <v>18013</v>
      </c>
      <c r="C440" s="8">
        <v>2750</v>
      </c>
      <c r="D440" s="8">
        <v>6457</v>
      </c>
      <c r="E440" s="8">
        <v>5919</v>
      </c>
      <c r="F440" s="8">
        <v>1721</v>
      </c>
      <c r="G440" s="8">
        <v>595</v>
      </c>
      <c r="H440" s="8">
        <v>357</v>
      </c>
      <c r="I440" s="8">
        <v>214</v>
      </c>
    </row>
    <row r="441" spans="1:11" ht="13.5" customHeight="1">
      <c r="A441" s="9" t="s">
        <v>13</v>
      </c>
      <c r="B441" s="8">
        <v>13802</v>
      </c>
      <c r="C441" s="8">
        <v>3389</v>
      </c>
      <c r="D441" s="8">
        <v>3159</v>
      </c>
      <c r="E441" s="8">
        <v>4236</v>
      </c>
      <c r="F441" s="8">
        <v>1722</v>
      </c>
      <c r="G441" s="8">
        <v>650</v>
      </c>
      <c r="H441" s="8">
        <v>424</v>
      </c>
      <c r="I441" s="8">
        <v>222</v>
      </c>
    </row>
    <row r="442" spans="1:11" ht="13.5" customHeight="1">
      <c r="A442" s="9" t="s">
        <v>14</v>
      </c>
      <c r="B442" s="8">
        <v>5797</v>
      </c>
      <c r="C442" s="8">
        <v>1159</v>
      </c>
      <c r="D442" s="8">
        <v>884</v>
      </c>
      <c r="E442" s="8">
        <v>1409</v>
      </c>
      <c r="F442" s="8">
        <v>1297</v>
      </c>
      <c r="G442" s="8">
        <v>553</v>
      </c>
      <c r="H442" s="8">
        <v>314</v>
      </c>
      <c r="I442" s="8">
        <v>181</v>
      </c>
    </row>
    <row r="443" spans="1:11" ht="13.5" customHeight="1">
      <c r="A443" s="9" t="s">
        <v>15</v>
      </c>
      <c r="B443" s="8">
        <v>1819</v>
      </c>
      <c r="C443" s="8">
        <v>42</v>
      </c>
      <c r="D443" s="8">
        <v>242</v>
      </c>
      <c r="E443" s="8">
        <v>426</v>
      </c>
      <c r="F443" s="8">
        <v>495</v>
      </c>
      <c r="G443" s="8">
        <v>399</v>
      </c>
      <c r="H443" s="8">
        <v>142</v>
      </c>
      <c r="I443" s="8">
        <v>73</v>
      </c>
    </row>
    <row r="444" spans="1:11" ht="13.5" customHeight="1">
      <c r="A444" s="9" t="s">
        <v>16</v>
      </c>
      <c r="B444" s="8">
        <v>1753</v>
      </c>
      <c r="C444" s="8">
        <v>106</v>
      </c>
      <c r="D444" s="8">
        <v>263</v>
      </c>
      <c r="E444" s="8">
        <v>286</v>
      </c>
      <c r="F444" s="8">
        <v>425</v>
      </c>
      <c r="G444" s="8">
        <v>393</v>
      </c>
      <c r="H444" s="8">
        <v>190</v>
      </c>
      <c r="I444" s="8">
        <v>90</v>
      </c>
    </row>
    <row r="445" spans="1:11" ht="13.5" customHeight="1">
      <c r="A445" s="9" t="s">
        <v>17</v>
      </c>
      <c r="B445" s="8">
        <v>1014</v>
      </c>
      <c r="C445" s="8">
        <v>172</v>
      </c>
      <c r="D445" s="8">
        <v>190</v>
      </c>
      <c r="E445" s="8">
        <v>188</v>
      </c>
      <c r="F445" s="8">
        <v>223</v>
      </c>
      <c r="G445" s="8">
        <v>93</v>
      </c>
      <c r="H445" s="8">
        <v>84</v>
      </c>
      <c r="I445" s="8">
        <v>64</v>
      </c>
    </row>
    <row r="446" spans="1:11" ht="13.5" customHeight="1">
      <c r="A446" s="9" t="s">
        <v>18</v>
      </c>
      <c r="B446" s="8">
        <v>966</v>
      </c>
      <c r="C446" s="8">
        <v>14</v>
      </c>
      <c r="D446" s="8">
        <v>97</v>
      </c>
      <c r="E446" s="8">
        <v>236</v>
      </c>
      <c r="F446" s="8">
        <v>241</v>
      </c>
      <c r="G446" s="8">
        <v>208</v>
      </c>
      <c r="H446" s="8">
        <v>114</v>
      </c>
      <c r="I446" s="8">
        <v>56</v>
      </c>
    </row>
    <row r="447" spans="1:11" ht="13.5" customHeight="1">
      <c r="A447" s="9" t="s">
        <v>19</v>
      </c>
      <c r="B447" s="8">
        <v>995</v>
      </c>
      <c r="C447" s="8">
        <v>26</v>
      </c>
      <c r="D447" s="8">
        <v>75</v>
      </c>
      <c r="E447" s="8">
        <v>136</v>
      </c>
      <c r="F447" s="8">
        <v>272</v>
      </c>
      <c r="G447" s="8">
        <v>305</v>
      </c>
      <c r="H447" s="8">
        <v>116</v>
      </c>
      <c r="I447" s="8">
        <v>65</v>
      </c>
    </row>
    <row r="448" spans="1:11" ht="13.5" customHeight="1">
      <c r="A448" s="9" t="s">
        <v>20</v>
      </c>
      <c r="B448" s="8">
        <v>2221</v>
      </c>
      <c r="C448" s="8">
        <v>101</v>
      </c>
      <c r="D448" s="8">
        <v>247</v>
      </c>
      <c r="E448" s="8">
        <v>408</v>
      </c>
      <c r="F448" s="8">
        <v>624</v>
      </c>
      <c r="G448" s="8">
        <v>475</v>
      </c>
      <c r="H448" s="8">
        <v>286</v>
      </c>
      <c r="I448" s="8">
        <v>80</v>
      </c>
    </row>
    <row r="449" spans="1:15" ht="13.5" customHeight="1">
      <c r="A449" s="9" t="s">
        <v>21</v>
      </c>
      <c r="B449" s="8">
        <v>2342</v>
      </c>
      <c r="C449" s="8">
        <v>238</v>
      </c>
      <c r="D449" s="8">
        <v>376</v>
      </c>
      <c r="E449" s="8">
        <v>468</v>
      </c>
      <c r="F449" s="8">
        <v>623</v>
      </c>
      <c r="G449" s="8">
        <v>355</v>
      </c>
      <c r="H449" s="8">
        <v>218</v>
      </c>
      <c r="I449" s="8">
        <v>64</v>
      </c>
    </row>
    <row r="450" spans="1:15" ht="13.5" customHeight="1">
      <c r="A450" s="106" t="s">
        <v>40</v>
      </c>
      <c r="B450" s="36"/>
      <c r="C450" s="36"/>
      <c r="D450" s="36"/>
      <c r="E450" s="36"/>
      <c r="F450" s="36"/>
      <c r="G450" s="36"/>
      <c r="H450" s="36"/>
      <c r="I450" s="36"/>
    </row>
    <row r="451" spans="1:15" ht="13.5" customHeight="1">
      <c r="A451" s="9" t="s">
        <v>23</v>
      </c>
      <c r="B451" s="8">
        <v>154</v>
      </c>
      <c r="C451" s="8">
        <v>62</v>
      </c>
      <c r="D451" s="8">
        <v>10</v>
      </c>
      <c r="E451" s="8">
        <v>25</v>
      </c>
      <c r="F451" s="8">
        <v>19</v>
      </c>
      <c r="G451" s="8">
        <v>11</v>
      </c>
      <c r="H451" s="8">
        <v>17</v>
      </c>
      <c r="I451" s="8">
        <v>10</v>
      </c>
    </row>
    <row r="452" spans="1:15" ht="13.5" customHeight="1">
      <c r="A452" s="9" t="s">
        <v>24</v>
      </c>
      <c r="B452" s="8">
        <v>1850</v>
      </c>
      <c r="C452" s="8">
        <v>169</v>
      </c>
      <c r="D452" s="8">
        <v>108</v>
      </c>
      <c r="E452" s="8">
        <v>237</v>
      </c>
      <c r="F452" s="8">
        <v>264</v>
      </c>
      <c r="G452" s="8">
        <v>298</v>
      </c>
      <c r="H452" s="8">
        <v>442</v>
      </c>
      <c r="I452" s="8">
        <v>332</v>
      </c>
    </row>
    <row r="453" spans="1:15" ht="13.5" customHeight="1">
      <c r="A453" s="9" t="s">
        <v>25</v>
      </c>
      <c r="B453" s="8">
        <v>4580</v>
      </c>
      <c r="C453" s="8">
        <v>309</v>
      </c>
      <c r="D453" s="8">
        <v>611</v>
      </c>
      <c r="E453" s="8">
        <v>839</v>
      </c>
      <c r="F453" s="8">
        <v>807</v>
      </c>
      <c r="G453" s="8">
        <v>595</v>
      </c>
      <c r="H453" s="8">
        <v>712</v>
      </c>
      <c r="I453" s="8">
        <v>707</v>
      </c>
    </row>
    <row r="454" spans="1:15" ht="13.5" customHeight="1">
      <c r="A454" s="9" t="s">
        <v>26</v>
      </c>
      <c r="B454" s="8">
        <v>11474</v>
      </c>
      <c r="C454" s="8">
        <v>1303</v>
      </c>
      <c r="D454" s="8">
        <v>2996</v>
      </c>
      <c r="E454" s="8">
        <v>3600</v>
      </c>
      <c r="F454" s="8">
        <v>1845</v>
      </c>
      <c r="G454" s="8">
        <v>834</v>
      </c>
      <c r="H454" s="8">
        <v>653</v>
      </c>
      <c r="I454" s="8">
        <v>243</v>
      </c>
    </row>
    <row r="455" spans="1:15" ht="13.5" customHeight="1">
      <c r="A455" s="9" t="s">
        <v>27</v>
      </c>
      <c r="B455" s="8">
        <v>19506</v>
      </c>
      <c r="C455" s="8">
        <v>2616</v>
      </c>
      <c r="D455" s="8">
        <v>5381</v>
      </c>
      <c r="E455" s="8">
        <v>5924</v>
      </c>
      <c r="F455" s="8">
        <v>3033</v>
      </c>
      <c r="G455" s="8">
        <v>1405</v>
      </c>
      <c r="H455" s="8">
        <v>848</v>
      </c>
      <c r="I455" s="8">
        <v>299</v>
      </c>
    </row>
    <row r="456" spans="1:15" ht="13.5" customHeight="1">
      <c r="A456" s="9" t="s">
        <v>28</v>
      </c>
      <c r="B456" s="8">
        <v>15470</v>
      </c>
      <c r="C456" s="8">
        <v>2692</v>
      </c>
      <c r="D456" s="8">
        <v>3913</v>
      </c>
      <c r="E456" s="8">
        <v>4433</v>
      </c>
      <c r="F456" s="8">
        <v>2349</v>
      </c>
      <c r="G456" s="8">
        <v>1181</v>
      </c>
      <c r="H456" s="8">
        <v>615</v>
      </c>
      <c r="I456" s="8">
        <v>287</v>
      </c>
    </row>
    <row r="457" spans="1:15" ht="13.5" customHeight="1">
      <c r="A457" s="9" t="s">
        <v>29</v>
      </c>
      <c r="B457" s="8">
        <v>10999</v>
      </c>
      <c r="C457" s="8">
        <v>1874</v>
      </c>
      <c r="D457" s="8">
        <v>2537</v>
      </c>
      <c r="E457" s="8">
        <v>3076</v>
      </c>
      <c r="F457" s="8">
        <v>1879</v>
      </c>
      <c r="G457" s="8">
        <v>964</v>
      </c>
      <c r="H457" s="8">
        <v>473</v>
      </c>
      <c r="I457" s="8">
        <v>196</v>
      </c>
    </row>
    <row r="458" spans="1:15" ht="13.5" customHeight="1">
      <c r="A458" s="10" t="s">
        <v>30</v>
      </c>
      <c r="B458" s="8">
        <v>11855</v>
      </c>
      <c r="C458" s="8">
        <v>1961</v>
      </c>
      <c r="D458" s="8">
        <v>2670</v>
      </c>
      <c r="E458" s="8">
        <v>3688</v>
      </c>
      <c r="F458" s="8">
        <v>1851</v>
      </c>
      <c r="G458" s="8">
        <v>985</v>
      </c>
      <c r="H458" s="8">
        <v>485</v>
      </c>
      <c r="I458" s="8">
        <v>215</v>
      </c>
    </row>
    <row r="459" spans="1:15" ht="13.5" customHeight="1">
      <c r="A459" s="106" t="s">
        <v>44</v>
      </c>
      <c r="B459" s="36"/>
      <c r="C459" s="36"/>
      <c r="D459" s="36"/>
      <c r="E459" s="36"/>
      <c r="F459" s="36"/>
      <c r="G459" s="36"/>
      <c r="H459" s="36"/>
      <c r="I459" s="36"/>
      <c r="N459"/>
      <c r="O459"/>
    </row>
    <row r="460" spans="1:15" ht="13.5" customHeight="1">
      <c r="A460" s="10" t="s">
        <v>45</v>
      </c>
      <c r="B460" s="8">
        <v>11513</v>
      </c>
      <c r="C460" s="8">
        <v>9799</v>
      </c>
      <c r="D460" s="8">
        <v>1520</v>
      </c>
      <c r="E460" s="8">
        <v>116</v>
      </c>
      <c r="F460" s="8">
        <v>36</v>
      </c>
      <c r="G460" s="8">
        <v>17</v>
      </c>
      <c r="H460" s="8">
        <v>14</v>
      </c>
      <c r="I460" s="8">
        <v>11</v>
      </c>
      <c r="M460"/>
      <c r="N460"/>
      <c r="O460"/>
    </row>
    <row r="461" spans="1:15" ht="13.5" customHeight="1">
      <c r="A461" s="10" t="s">
        <v>46</v>
      </c>
      <c r="B461" s="8">
        <v>20599</v>
      </c>
      <c r="C461" s="8">
        <v>1167</v>
      </c>
      <c r="D461" s="8">
        <v>14493</v>
      </c>
      <c r="E461" s="8">
        <v>4567</v>
      </c>
      <c r="F461" s="8">
        <v>298</v>
      </c>
      <c r="G461" s="8">
        <v>50</v>
      </c>
      <c r="H461" s="8">
        <v>20</v>
      </c>
      <c r="I461" s="8">
        <v>4</v>
      </c>
      <c r="M461"/>
    </row>
    <row r="462" spans="1:15" ht="13.5" customHeight="1">
      <c r="A462" s="10" t="s">
        <v>47</v>
      </c>
      <c r="B462" s="8">
        <v>24295</v>
      </c>
      <c r="C462" s="8">
        <v>19</v>
      </c>
      <c r="D462" s="8">
        <v>2169</v>
      </c>
      <c r="E462" s="8">
        <v>15555</v>
      </c>
      <c r="F462" s="8">
        <v>5661</v>
      </c>
      <c r="G462" s="8">
        <v>666</v>
      </c>
      <c r="H462" s="8">
        <v>193</v>
      </c>
      <c r="I462" s="8">
        <v>32</v>
      </c>
    </row>
    <row r="463" spans="1:15" ht="13.5" customHeight="1">
      <c r="A463" s="10" t="s">
        <v>48</v>
      </c>
      <c r="B463" s="8">
        <v>12211</v>
      </c>
      <c r="C463" s="8">
        <v>0</v>
      </c>
      <c r="D463" s="8">
        <v>37</v>
      </c>
      <c r="E463" s="8">
        <v>1523</v>
      </c>
      <c r="F463" s="8">
        <v>5625</v>
      </c>
      <c r="G463" s="8">
        <v>3841</v>
      </c>
      <c r="H463" s="8">
        <v>1048</v>
      </c>
      <c r="I463" s="8">
        <v>137</v>
      </c>
    </row>
    <row r="464" spans="1:15" ht="13.5" customHeight="1">
      <c r="A464" s="10" t="s">
        <v>49</v>
      </c>
      <c r="B464" s="8">
        <v>4623</v>
      </c>
      <c r="C464" s="8">
        <v>1</v>
      </c>
      <c r="D464" s="8">
        <v>6</v>
      </c>
      <c r="E464" s="8">
        <v>55</v>
      </c>
      <c r="F464" s="8">
        <v>401</v>
      </c>
      <c r="G464" s="8">
        <v>1563</v>
      </c>
      <c r="H464" s="8">
        <v>2046</v>
      </c>
      <c r="I464" s="8">
        <v>551</v>
      </c>
    </row>
    <row r="465" spans="1:12" ht="13.5" customHeight="1">
      <c r="A465" s="10" t="s">
        <v>98</v>
      </c>
      <c r="B465" s="8">
        <v>2647</v>
      </c>
      <c r="C465" s="8">
        <v>0</v>
      </c>
      <c r="D465" s="8">
        <v>1</v>
      </c>
      <c r="E465" s="8">
        <v>6</v>
      </c>
      <c r="F465" s="8">
        <v>26</v>
      </c>
      <c r="G465" s="8">
        <v>136</v>
      </c>
      <c r="H465" s="8">
        <v>924</v>
      </c>
      <c r="I465" s="8">
        <v>1554</v>
      </c>
    </row>
    <row r="466" spans="1:12" ht="13.5" customHeight="1">
      <c r="A466" s="161"/>
      <c r="C466" s="161"/>
      <c r="D466" s="161"/>
      <c r="E466" s="161"/>
      <c r="F466" s="161"/>
      <c r="G466" s="161"/>
      <c r="H466" s="161"/>
      <c r="J466"/>
      <c r="K466"/>
    </row>
    <row r="467" spans="1:12" ht="13.5" customHeight="1">
      <c r="A467" s="9" t="s">
        <v>84</v>
      </c>
      <c r="B467" s="161"/>
      <c r="C467" s="161"/>
      <c r="D467" s="161"/>
      <c r="E467" s="161"/>
      <c r="F467" s="161"/>
      <c r="G467" s="8"/>
      <c r="H467" s="8"/>
      <c r="J467"/>
      <c r="K467"/>
      <c r="L467"/>
    </row>
    <row r="468" spans="1:12" ht="13.5" customHeight="1">
      <c r="A468" s="10"/>
      <c r="B468" s="8"/>
      <c r="C468" s="8"/>
      <c r="D468" s="8"/>
      <c r="E468" s="8"/>
      <c r="F468" s="8"/>
      <c r="G468" s="8"/>
      <c r="H468" s="8"/>
      <c r="I468" s="8"/>
      <c r="L468"/>
    </row>
    <row r="469" spans="1:12" ht="13.5" customHeight="1">
      <c r="A469" s="158" t="s">
        <v>102</v>
      </c>
      <c r="B469" s="58"/>
      <c r="C469" s="58"/>
      <c r="D469" s="58"/>
      <c r="E469" s="58"/>
      <c r="F469" s="58"/>
      <c r="G469" s="58"/>
      <c r="H469" s="58"/>
      <c r="I469" s="58"/>
    </row>
    <row r="472" spans="1:12" ht="13.5" customHeight="1">
      <c r="A472" s="86" t="s">
        <v>105</v>
      </c>
      <c r="B472" s="87"/>
      <c r="C472" s="87"/>
      <c r="D472" s="87"/>
      <c r="E472" s="87"/>
      <c r="F472" s="88"/>
      <c r="G472" s="87"/>
      <c r="H472" s="53"/>
      <c r="I472" s="89"/>
    </row>
    <row r="473" spans="1:12" ht="13.5" customHeight="1">
      <c r="A473" s="58" t="s">
        <v>1</v>
      </c>
      <c r="B473" s="61"/>
      <c r="C473" s="61"/>
      <c r="D473" s="58"/>
      <c r="E473" s="58"/>
      <c r="F473" s="58"/>
      <c r="G473" s="58"/>
      <c r="H473" s="35"/>
      <c r="I473" s="62"/>
    </row>
    <row r="474" spans="1:12" ht="13.5" customHeight="1">
      <c r="A474" s="58"/>
      <c r="B474" s="61"/>
      <c r="C474" s="61"/>
      <c r="D474" s="58"/>
      <c r="E474" s="58"/>
      <c r="F474" s="58"/>
      <c r="G474" s="58"/>
      <c r="H474" s="58"/>
      <c r="I474" s="62"/>
    </row>
    <row r="475" spans="1:12" ht="13.5" customHeight="1">
      <c r="A475" s="114"/>
      <c r="B475" s="115"/>
      <c r="C475" s="116"/>
      <c r="D475" s="116"/>
      <c r="E475" s="116"/>
      <c r="F475" s="116"/>
      <c r="G475" s="116"/>
      <c r="H475" s="116"/>
      <c r="I475" s="117" t="s">
        <v>73</v>
      </c>
      <c r="K475" s="170" t="s">
        <v>126</v>
      </c>
    </row>
    <row r="476" spans="1:12" ht="13.5" customHeight="1">
      <c r="A476" s="153"/>
      <c r="B476" s="152" t="s">
        <v>2</v>
      </c>
      <c r="C476" s="152" t="s">
        <v>99</v>
      </c>
      <c r="D476" s="154" t="s">
        <v>67</v>
      </c>
      <c r="E476" s="154" t="s">
        <v>68</v>
      </c>
      <c r="F476" s="154" t="s">
        <v>69</v>
      </c>
      <c r="G476" s="154" t="s">
        <v>70</v>
      </c>
      <c r="H476" s="154" t="s">
        <v>71</v>
      </c>
      <c r="I476" s="154" t="s">
        <v>72</v>
      </c>
    </row>
    <row r="477" spans="1:12" ht="13.5" customHeight="1">
      <c r="A477" s="37" t="s">
        <v>2</v>
      </c>
      <c r="B477" s="36">
        <v>75183</v>
      </c>
      <c r="C477" s="36">
        <v>10867</v>
      </c>
      <c r="D477" s="36">
        <v>18087</v>
      </c>
      <c r="E477" s="36">
        <v>21743</v>
      </c>
      <c r="F477" s="36">
        <v>11829</v>
      </c>
      <c r="G477" s="36">
        <v>6163</v>
      </c>
      <c r="H477" s="36">
        <v>4211</v>
      </c>
      <c r="I477" s="36">
        <v>2283</v>
      </c>
    </row>
    <row r="478" spans="1:12" ht="13.5" customHeight="1">
      <c r="A478" s="37" t="s">
        <v>5</v>
      </c>
      <c r="B478" s="36"/>
      <c r="C478" s="36"/>
      <c r="D478" s="36"/>
      <c r="E478" s="36"/>
      <c r="F478" s="36"/>
      <c r="G478" s="36"/>
      <c r="H478" s="36"/>
      <c r="I478" s="36"/>
    </row>
    <row r="479" spans="1:12" ht="13.5" customHeight="1">
      <c r="A479" s="9" t="s">
        <v>6</v>
      </c>
      <c r="B479" s="8">
        <v>2236</v>
      </c>
      <c r="C479" s="8">
        <v>16</v>
      </c>
      <c r="D479" s="8">
        <v>34</v>
      </c>
      <c r="E479" s="8">
        <v>160</v>
      </c>
      <c r="F479" s="8">
        <v>221</v>
      </c>
      <c r="G479" s="8">
        <v>276</v>
      </c>
      <c r="H479" s="8">
        <v>720</v>
      </c>
      <c r="I479" s="8">
        <v>809</v>
      </c>
    </row>
    <row r="480" spans="1:12" ht="13.5" customHeight="1">
      <c r="A480" s="9" t="s">
        <v>7</v>
      </c>
      <c r="B480" s="8">
        <v>44606</v>
      </c>
      <c r="C480" s="8">
        <v>5698</v>
      </c>
      <c r="D480" s="8">
        <v>11354</v>
      </c>
      <c r="E480" s="8">
        <v>13727</v>
      </c>
      <c r="F480" s="8">
        <v>7196</v>
      </c>
      <c r="G480" s="8">
        <v>3696</v>
      </c>
      <c r="H480" s="8">
        <v>2051</v>
      </c>
      <c r="I480" s="8">
        <v>884</v>
      </c>
    </row>
    <row r="481" spans="1:11" ht="13.5" customHeight="1">
      <c r="A481" s="10" t="s">
        <v>8</v>
      </c>
      <c r="B481" s="8">
        <v>27115</v>
      </c>
      <c r="C481" s="8">
        <v>4837</v>
      </c>
      <c r="D481" s="8">
        <v>6483</v>
      </c>
      <c r="E481" s="8">
        <v>7639</v>
      </c>
      <c r="F481" s="8">
        <v>4218</v>
      </c>
      <c r="G481" s="8">
        <v>2107</v>
      </c>
      <c r="H481" s="8">
        <v>1307</v>
      </c>
      <c r="I481" s="8">
        <v>524</v>
      </c>
      <c r="K481" s="113"/>
    </row>
    <row r="482" spans="1:11" ht="13.5" customHeight="1">
      <c r="A482" s="10" t="s">
        <v>65</v>
      </c>
      <c r="B482" s="8">
        <v>1226</v>
      </c>
      <c r="C482" s="8">
        <v>316</v>
      </c>
      <c r="D482" s="8">
        <v>216</v>
      </c>
      <c r="E482" s="8">
        <v>217</v>
      </c>
      <c r="F482" s="8">
        <v>194</v>
      </c>
      <c r="G482" s="8">
        <v>84</v>
      </c>
      <c r="H482" s="8">
        <v>133</v>
      </c>
      <c r="I482" s="8">
        <v>66</v>
      </c>
    </row>
    <row r="483" spans="1:11" ht="13.5" customHeight="1">
      <c r="A483" s="106" t="s">
        <v>39</v>
      </c>
      <c r="B483" s="36"/>
      <c r="C483" s="36"/>
      <c r="D483" s="36"/>
      <c r="E483" s="36"/>
      <c r="F483" s="36"/>
      <c r="G483" s="36"/>
      <c r="H483" s="36"/>
      <c r="I483" s="36"/>
    </row>
    <row r="484" spans="1:11" ht="13.5" customHeight="1">
      <c r="A484" s="9" t="s">
        <v>10</v>
      </c>
      <c r="B484" s="8">
        <v>12436</v>
      </c>
      <c r="C484" s="8">
        <v>1519</v>
      </c>
      <c r="D484" s="8">
        <v>2348</v>
      </c>
      <c r="E484" s="8">
        <v>3293</v>
      </c>
      <c r="F484" s="8">
        <v>2013</v>
      </c>
      <c r="G484" s="8">
        <v>1264</v>
      </c>
      <c r="H484" s="8">
        <v>1228</v>
      </c>
      <c r="I484" s="8">
        <v>771</v>
      </c>
    </row>
    <row r="485" spans="1:11" ht="13.5" customHeight="1">
      <c r="A485" s="9" t="s">
        <v>11</v>
      </c>
      <c r="B485" s="8">
        <v>14656</v>
      </c>
      <c r="C485" s="8">
        <v>1441</v>
      </c>
      <c r="D485" s="8">
        <v>3874</v>
      </c>
      <c r="E485" s="8">
        <v>4812</v>
      </c>
      <c r="F485" s="8">
        <v>2390</v>
      </c>
      <c r="G485" s="8">
        <v>956</v>
      </c>
      <c r="H485" s="8">
        <v>780</v>
      </c>
      <c r="I485" s="8">
        <v>403</v>
      </c>
    </row>
    <row r="486" spans="1:11" ht="13.5" customHeight="1">
      <c r="A486" s="9" t="s">
        <v>12</v>
      </c>
      <c r="B486" s="8">
        <v>17995</v>
      </c>
      <c r="C486" s="8">
        <v>2732</v>
      </c>
      <c r="D486" s="8">
        <v>6476</v>
      </c>
      <c r="E486" s="8">
        <v>5897</v>
      </c>
      <c r="F486" s="8">
        <v>1708</v>
      </c>
      <c r="G486" s="8">
        <v>601</v>
      </c>
      <c r="H486" s="8">
        <v>364</v>
      </c>
      <c r="I486" s="8">
        <v>217</v>
      </c>
    </row>
    <row r="487" spans="1:11" ht="13.5" customHeight="1">
      <c r="A487" s="9" t="s">
        <v>13</v>
      </c>
      <c r="B487" s="8">
        <v>13764</v>
      </c>
      <c r="C487" s="8">
        <v>3327</v>
      </c>
      <c r="D487" s="8">
        <v>3134</v>
      </c>
      <c r="E487" s="8">
        <v>4268</v>
      </c>
      <c r="F487" s="8">
        <v>1735</v>
      </c>
      <c r="G487" s="8">
        <v>653</v>
      </c>
      <c r="H487" s="8">
        <v>425</v>
      </c>
      <c r="I487" s="8">
        <v>222</v>
      </c>
    </row>
    <row r="488" spans="1:11" ht="13.5" customHeight="1">
      <c r="A488" s="9" t="s">
        <v>14</v>
      </c>
      <c r="B488" s="8">
        <v>5811</v>
      </c>
      <c r="C488" s="8">
        <v>1168</v>
      </c>
      <c r="D488" s="8">
        <v>886</v>
      </c>
      <c r="E488" s="8">
        <v>1421</v>
      </c>
      <c r="F488" s="8">
        <v>1288</v>
      </c>
      <c r="G488" s="8">
        <v>551</v>
      </c>
      <c r="H488" s="8">
        <v>313</v>
      </c>
      <c r="I488" s="8">
        <v>184</v>
      </c>
    </row>
    <row r="489" spans="1:11" ht="13.5" customHeight="1">
      <c r="A489" s="9" t="s">
        <v>15</v>
      </c>
      <c r="B489" s="8">
        <v>1825</v>
      </c>
      <c r="C489" s="8">
        <v>44</v>
      </c>
      <c r="D489" s="8">
        <v>241</v>
      </c>
      <c r="E489" s="8">
        <v>432</v>
      </c>
      <c r="F489" s="8">
        <v>496</v>
      </c>
      <c r="G489" s="8">
        <v>400</v>
      </c>
      <c r="H489" s="8">
        <v>138</v>
      </c>
      <c r="I489" s="8">
        <v>74</v>
      </c>
    </row>
    <row r="490" spans="1:11" ht="13.5" customHeight="1">
      <c r="A490" s="9" t="s">
        <v>16</v>
      </c>
      <c r="B490" s="8">
        <v>1753</v>
      </c>
      <c r="C490" s="8">
        <v>106</v>
      </c>
      <c r="D490" s="8">
        <v>263</v>
      </c>
      <c r="E490" s="8">
        <v>286</v>
      </c>
      <c r="F490" s="8">
        <v>427</v>
      </c>
      <c r="G490" s="8">
        <v>392</v>
      </c>
      <c r="H490" s="8">
        <v>190</v>
      </c>
      <c r="I490" s="8">
        <v>89</v>
      </c>
    </row>
    <row r="491" spans="1:11" ht="13.5" customHeight="1">
      <c r="A491" s="9" t="s">
        <v>17</v>
      </c>
      <c r="B491" s="8">
        <v>1012</v>
      </c>
      <c r="C491" s="8">
        <v>172</v>
      </c>
      <c r="D491" s="8">
        <v>190</v>
      </c>
      <c r="E491" s="8">
        <v>189</v>
      </c>
      <c r="F491" s="8">
        <v>221</v>
      </c>
      <c r="G491" s="8">
        <v>92</v>
      </c>
      <c r="H491" s="8">
        <v>84</v>
      </c>
      <c r="I491" s="8">
        <v>64</v>
      </c>
    </row>
    <row r="492" spans="1:11" ht="13.5" customHeight="1">
      <c r="A492" s="9" t="s">
        <v>18</v>
      </c>
      <c r="B492" s="8">
        <v>965</v>
      </c>
      <c r="C492" s="8">
        <v>13</v>
      </c>
      <c r="D492" s="8">
        <v>96</v>
      </c>
      <c r="E492" s="8">
        <v>238</v>
      </c>
      <c r="F492" s="8">
        <v>240</v>
      </c>
      <c r="G492" s="8">
        <v>208</v>
      </c>
      <c r="H492" s="8">
        <v>113</v>
      </c>
      <c r="I492" s="8">
        <v>57</v>
      </c>
    </row>
    <row r="493" spans="1:11" ht="13.5" customHeight="1">
      <c r="A493" s="9" t="s">
        <v>19</v>
      </c>
      <c r="B493" s="8">
        <v>995</v>
      </c>
      <c r="C493" s="8">
        <v>26</v>
      </c>
      <c r="D493" s="8">
        <v>75</v>
      </c>
      <c r="E493" s="8">
        <v>153</v>
      </c>
      <c r="F493" s="8">
        <v>259</v>
      </c>
      <c r="G493" s="8">
        <v>308</v>
      </c>
      <c r="H493" s="8">
        <v>110</v>
      </c>
      <c r="I493" s="8">
        <v>64</v>
      </c>
    </row>
    <row r="494" spans="1:11" ht="13.5" customHeight="1">
      <c r="A494" s="9" t="s">
        <v>20</v>
      </c>
      <c r="B494" s="8">
        <v>2224</v>
      </c>
      <c r="C494" s="8">
        <v>101</v>
      </c>
      <c r="D494" s="8">
        <v>247</v>
      </c>
      <c r="E494" s="8">
        <v>408</v>
      </c>
      <c r="F494" s="8">
        <v>626</v>
      </c>
      <c r="G494" s="8">
        <v>476</v>
      </c>
      <c r="H494" s="8">
        <v>286</v>
      </c>
      <c r="I494" s="8">
        <v>80</v>
      </c>
    </row>
    <row r="495" spans="1:11" ht="13.5" customHeight="1">
      <c r="A495" s="9" t="s">
        <v>132</v>
      </c>
      <c r="B495" s="8">
        <v>1747</v>
      </c>
      <c r="C495" s="8">
        <v>218</v>
      </c>
      <c r="D495" s="8">
        <v>257</v>
      </c>
      <c r="E495" s="8">
        <v>346</v>
      </c>
      <c r="F495" s="8">
        <v>426</v>
      </c>
      <c r="G495" s="8">
        <v>262</v>
      </c>
      <c r="H495" s="8">
        <v>180</v>
      </c>
      <c r="I495" s="8">
        <v>58</v>
      </c>
    </row>
    <row r="496" spans="1:11" ht="13.5" customHeight="1">
      <c r="A496" s="106" t="s">
        <v>40</v>
      </c>
      <c r="B496" s="36"/>
      <c r="C496" s="36"/>
      <c r="D496" s="36"/>
      <c r="E496" s="36"/>
      <c r="F496" s="36"/>
      <c r="G496" s="36"/>
      <c r="H496" s="36"/>
      <c r="I496" s="36"/>
    </row>
    <row r="497" spans="1:15" ht="13.5" customHeight="1">
      <c r="A497" s="9" t="s">
        <v>23</v>
      </c>
      <c r="B497" s="8">
        <v>156</v>
      </c>
      <c r="C497" s="8">
        <v>62</v>
      </c>
      <c r="D497" s="8">
        <v>11</v>
      </c>
      <c r="E497" s="8">
        <v>25</v>
      </c>
      <c r="F497" s="8">
        <v>20</v>
      </c>
      <c r="G497" s="8">
        <v>11</v>
      </c>
      <c r="H497" s="8">
        <v>18</v>
      </c>
      <c r="I497" s="8">
        <v>9</v>
      </c>
    </row>
    <row r="498" spans="1:15" ht="13.5" customHeight="1">
      <c r="A498" s="9" t="s">
        <v>24</v>
      </c>
      <c r="B498" s="8">
        <v>1851</v>
      </c>
      <c r="C498" s="8">
        <v>170</v>
      </c>
      <c r="D498" s="8">
        <v>108</v>
      </c>
      <c r="E498" s="8">
        <v>241</v>
      </c>
      <c r="F498" s="8">
        <v>261</v>
      </c>
      <c r="G498" s="8">
        <v>297</v>
      </c>
      <c r="H498" s="8">
        <v>443</v>
      </c>
      <c r="I498" s="8">
        <v>331</v>
      </c>
    </row>
    <row r="499" spans="1:15" ht="13.5" customHeight="1">
      <c r="A499" s="9" t="s">
        <v>25</v>
      </c>
      <c r="B499" s="8">
        <v>4528</v>
      </c>
      <c r="C499" s="8">
        <v>287</v>
      </c>
      <c r="D499" s="8">
        <v>594</v>
      </c>
      <c r="E499" s="8">
        <v>831</v>
      </c>
      <c r="F499" s="8">
        <v>802</v>
      </c>
      <c r="G499" s="8">
        <v>598</v>
      </c>
      <c r="H499" s="8">
        <v>703</v>
      </c>
      <c r="I499" s="8">
        <v>713</v>
      </c>
    </row>
    <row r="500" spans="1:15" ht="13.5" customHeight="1">
      <c r="A500" s="9" t="s">
        <v>26</v>
      </c>
      <c r="B500" s="8">
        <v>11511</v>
      </c>
      <c r="C500" s="8">
        <v>1336</v>
      </c>
      <c r="D500" s="8">
        <v>3021</v>
      </c>
      <c r="E500" s="8">
        <v>3607</v>
      </c>
      <c r="F500" s="8">
        <v>1840</v>
      </c>
      <c r="G500" s="8">
        <v>822</v>
      </c>
      <c r="H500" s="8">
        <v>643</v>
      </c>
      <c r="I500" s="8">
        <v>242</v>
      </c>
    </row>
    <row r="501" spans="1:15" ht="13.5" customHeight="1">
      <c r="A501" s="9" t="s">
        <v>27</v>
      </c>
      <c r="B501" s="8">
        <v>19280</v>
      </c>
      <c r="C501" s="8">
        <v>2523</v>
      </c>
      <c r="D501" s="8">
        <v>5335</v>
      </c>
      <c r="E501" s="8">
        <v>5926</v>
      </c>
      <c r="F501" s="8">
        <v>2953</v>
      </c>
      <c r="G501" s="8">
        <v>1389</v>
      </c>
      <c r="H501" s="8">
        <v>851</v>
      </c>
      <c r="I501" s="8">
        <v>303</v>
      </c>
    </row>
    <row r="502" spans="1:15" ht="13.5" customHeight="1">
      <c r="A502" s="9" t="s">
        <v>28</v>
      </c>
      <c r="B502" s="8">
        <v>15357</v>
      </c>
      <c r="C502" s="8">
        <v>2713</v>
      </c>
      <c r="D502" s="8">
        <v>3872</v>
      </c>
      <c r="E502" s="8">
        <v>4425</v>
      </c>
      <c r="F502" s="8">
        <v>2322</v>
      </c>
      <c r="G502" s="8">
        <v>1143</v>
      </c>
      <c r="H502" s="8">
        <v>605</v>
      </c>
      <c r="I502" s="8">
        <v>277</v>
      </c>
    </row>
    <row r="503" spans="1:15" ht="13.5" customHeight="1">
      <c r="A503" s="9" t="s">
        <v>29</v>
      </c>
      <c r="B503" s="8">
        <v>10763</v>
      </c>
      <c r="C503" s="8">
        <v>1833</v>
      </c>
      <c r="D503" s="8">
        <v>2505</v>
      </c>
      <c r="E503" s="8">
        <v>3029</v>
      </c>
      <c r="F503" s="8">
        <v>1809</v>
      </c>
      <c r="G503" s="8">
        <v>928</v>
      </c>
      <c r="H503" s="8">
        <v>468</v>
      </c>
      <c r="I503" s="8">
        <v>191</v>
      </c>
    </row>
    <row r="504" spans="1:15" ht="13.5" customHeight="1">
      <c r="A504" s="10" t="s">
        <v>30</v>
      </c>
      <c r="B504" s="8">
        <v>11737</v>
      </c>
      <c r="C504" s="8">
        <v>1943</v>
      </c>
      <c r="D504" s="8">
        <v>2641</v>
      </c>
      <c r="E504" s="8">
        <v>3659</v>
      </c>
      <c r="F504" s="8">
        <v>1822</v>
      </c>
      <c r="G504" s="8">
        <v>975</v>
      </c>
      <c r="H504" s="8">
        <v>480</v>
      </c>
      <c r="I504" s="8">
        <v>217</v>
      </c>
      <c r="N504"/>
      <c r="O504"/>
    </row>
    <row r="505" spans="1:15" ht="13.5" customHeight="1">
      <c r="A505" s="106" t="s">
        <v>44</v>
      </c>
      <c r="B505" s="36"/>
      <c r="C505" s="36"/>
      <c r="D505" s="36"/>
      <c r="E505" s="36"/>
      <c r="F505" s="36"/>
      <c r="G505" s="36"/>
      <c r="H505" s="36"/>
      <c r="I505" s="36"/>
      <c r="N505"/>
      <c r="O505"/>
    </row>
    <row r="506" spans="1:15" ht="13.5" customHeight="1">
      <c r="A506" s="10" t="s">
        <v>45</v>
      </c>
      <c r="B506" s="8">
        <v>11376</v>
      </c>
      <c r="C506" s="8">
        <v>9677</v>
      </c>
      <c r="D506" s="8">
        <v>1511</v>
      </c>
      <c r="E506" s="8">
        <v>115</v>
      </c>
      <c r="F506" s="8">
        <v>36</v>
      </c>
      <c r="G506" s="8">
        <v>15</v>
      </c>
      <c r="H506" s="8">
        <v>13</v>
      </c>
      <c r="I506" s="8">
        <v>9</v>
      </c>
      <c r="M506"/>
    </row>
    <row r="507" spans="1:15" ht="13.5" customHeight="1">
      <c r="A507" s="10" t="s">
        <v>46</v>
      </c>
      <c r="B507" s="8">
        <v>20417</v>
      </c>
      <c r="C507" s="8">
        <v>1169</v>
      </c>
      <c r="D507" s="8">
        <v>14361</v>
      </c>
      <c r="E507" s="8">
        <v>4515</v>
      </c>
      <c r="F507" s="8">
        <v>295</v>
      </c>
      <c r="G507" s="8">
        <v>52</v>
      </c>
      <c r="H507" s="8">
        <v>20</v>
      </c>
      <c r="I507" s="8">
        <v>5</v>
      </c>
      <c r="M507"/>
    </row>
    <row r="508" spans="1:15" ht="13.5" customHeight="1">
      <c r="A508" s="10" t="s">
        <v>47</v>
      </c>
      <c r="B508" s="8">
        <v>24106</v>
      </c>
      <c r="C508" s="8">
        <v>19</v>
      </c>
      <c r="D508" s="8">
        <v>2170</v>
      </c>
      <c r="E508" s="8">
        <v>15528</v>
      </c>
      <c r="F508" s="8">
        <v>5505</v>
      </c>
      <c r="G508" s="8">
        <v>652</v>
      </c>
      <c r="H508" s="8">
        <v>193</v>
      </c>
      <c r="I508" s="8">
        <v>39</v>
      </c>
    </row>
    <row r="509" spans="1:15" ht="13.5" customHeight="1">
      <c r="A509" s="10" t="s">
        <v>48</v>
      </c>
      <c r="B509" s="8">
        <v>12036</v>
      </c>
      <c r="C509" s="8">
        <v>1</v>
      </c>
      <c r="D509" s="8">
        <v>40</v>
      </c>
      <c r="E509" s="8">
        <v>1521</v>
      </c>
      <c r="F509" s="8">
        <v>5568</v>
      </c>
      <c r="G509" s="8">
        <v>3745</v>
      </c>
      <c r="H509" s="8">
        <v>1026</v>
      </c>
      <c r="I509" s="8">
        <v>135</v>
      </c>
    </row>
    <row r="510" spans="1:15" ht="13.5" customHeight="1">
      <c r="A510" s="10" t="s">
        <v>49</v>
      </c>
      <c r="B510" s="8">
        <v>4615</v>
      </c>
      <c r="C510" s="8">
        <v>1</v>
      </c>
      <c r="D510" s="8">
        <v>5</v>
      </c>
      <c r="E510" s="8">
        <v>55</v>
      </c>
      <c r="F510" s="8">
        <v>402</v>
      </c>
      <c r="G510" s="8">
        <v>1560</v>
      </c>
      <c r="H510" s="8">
        <v>2043</v>
      </c>
      <c r="I510" s="8">
        <v>549</v>
      </c>
    </row>
    <row r="511" spans="1:15" ht="13.5" customHeight="1">
      <c r="A511" s="10" t="s">
        <v>98</v>
      </c>
      <c r="B511" s="8">
        <v>2633</v>
      </c>
      <c r="C511" s="8">
        <v>0</v>
      </c>
      <c r="D511" s="8">
        <v>0</v>
      </c>
      <c r="E511" s="8">
        <v>9</v>
      </c>
      <c r="F511" s="8">
        <v>23</v>
      </c>
      <c r="G511" s="8">
        <v>139</v>
      </c>
      <c r="H511" s="8">
        <v>916</v>
      </c>
      <c r="I511" s="8">
        <v>1546</v>
      </c>
    </row>
    <row r="512" spans="1:15" ht="13.5" customHeight="1">
      <c r="A512" s="161"/>
      <c r="C512" s="161"/>
      <c r="D512" s="161"/>
      <c r="E512" s="161"/>
      <c r="F512" s="161"/>
      <c r="G512" s="161"/>
      <c r="H512" s="161"/>
      <c r="J512"/>
      <c r="K512"/>
    </row>
    <row r="513" spans="1:12" ht="13.5" customHeight="1">
      <c r="A513" s="9" t="s">
        <v>84</v>
      </c>
      <c r="B513" s="161"/>
      <c r="C513" s="161"/>
      <c r="D513" s="161"/>
      <c r="E513" s="161"/>
      <c r="F513" s="161"/>
      <c r="G513" s="8"/>
      <c r="H513" s="8"/>
      <c r="J513"/>
      <c r="K513"/>
      <c r="L513"/>
    </row>
    <row r="514" spans="1:12" ht="13.5" customHeight="1">
      <c r="A514" s="10"/>
      <c r="B514" s="8"/>
      <c r="C514" s="8"/>
      <c r="D514" s="8"/>
      <c r="E514" s="8"/>
      <c r="F514" s="8"/>
      <c r="G514" s="8"/>
      <c r="H514" s="8"/>
      <c r="I514" s="8"/>
      <c r="L514"/>
    </row>
    <row r="515" spans="1:12" ht="13.5" customHeight="1">
      <c r="A515" s="158" t="s">
        <v>102</v>
      </c>
      <c r="B515" s="58"/>
      <c r="C515" s="58"/>
      <c r="D515" s="58"/>
      <c r="E515" s="58"/>
      <c r="F515" s="58"/>
      <c r="G515" s="58"/>
      <c r="H515" s="58"/>
      <c r="I515" s="58"/>
    </row>
    <row r="518" spans="1:12" ht="13.5" customHeight="1">
      <c r="A518" s="86" t="s">
        <v>92</v>
      </c>
      <c r="B518" s="87"/>
      <c r="C518" s="87"/>
      <c r="D518" s="87"/>
      <c r="E518" s="87"/>
      <c r="F518" s="88"/>
      <c r="G518" s="87"/>
      <c r="H518" s="53"/>
      <c r="I518" s="89"/>
    </row>
    <row r="519" spans="1:12" ht="13.5" customHeight="1">
      <c r="A519" s="58" t="s">
        <v>1</v>
      </c>
      <c r="B519" s="61"/>
      <c r="C519" s="61"/>
      <c r="D519" s="58"/>
      <c r="E519" s="58"/>
      <c r="F519" s="58"/>
      <c r="G519" s="58"/>
      <c r="H519" s="35"/>
      <c r="I519" s="62"/>
    </row>
    <row r="520" spans="1:12" ht="13.5" customHeight="1">
      <c r="A520" s="58"/>
      <c r="B520" s="61"/>
      <c r="C520" s="61"/>
      <c r="D520" s="58"/>
      <c r="E520" s="58"/>
      <c r="F520" s="58"/>
      <c r="G520" s="58"/>
      <c r="H520" s="58"/>
      <c r="I520" s="62"/>
    </row>
    <row r="521" spans="1:12" ht="13.5" customHeight="1">
      <c r="A521" s="114"/>
      <c r="B521" s="115"/>
      <c r="C521" s="116"/>
      <c r="D521" s="116"/>
      <c r="E521" s="116"/>
      <c r="F521" s="116"/>
      <c r="G521" s="116"/>
      <c r="H521" s="116"/>
      <c r="I521" s="117" t="s">
        <v>73</v>
      </c>
      <c r="K521" s="170" t="s">
        <v>126</v>
      </c>
    </row>
    <row r="522" spans="1:12" ht="13.5" customHeight="1">
      <c r="A522" s="153"/>
      <c r="B522" s="152" t="s">
        <v>2</v>
      </c>
      <c r="C522" s="152" t="s">
        <v>99</v>
      </c>
      <c r="D522" s="154" t="s">
        <v>67</v>
      </c>
      <c r="E522" s="154" t="s">
        <v>68</v>
      </c>
      <c r="F522" s="154" t="s">
        <v>69</v>
      </c>
      <c r="G522" s="154" t="s">
        <v>70</v>
      </c>
      <c r="H522" s="154" t="s">
        <v>71</v>
      </c>
      <c r="I522" s="154" t="s">
        <v>72</v>
      </c>
    </row>
    <row r="523" spans="1:12" ht="13.5" customHeight="1">
      <c r="A523" s="37" t="s">
        <v>2</v>
      </c>
      <c r="B523" s="36">
        <v>75025</v>
      </c>
      <c r="C523" s="36">
        <v>10931</v>
      </c>
      <c r="D523" s="36">
        <v>18156</v>
      </c>
      <c r="E523" s="36">
        <v>21639</v>
      </c>
      <c r="F523" s="36">
        <v>11747</v>
      </c>
      <c r="G523" s="36">
        <v>6111</v>
      </c>
      <c r="H523" s="36">
        <v>4152</v>
      </c>
      <c r="I523" s="36">
        <v>2289</v>
      </c>
    </row>
    <row r="524" spans="1:12" ht="13.5" customHeight="1">
      <c r="A524" s="37" t="s">
        <v>5</v>
      </c>
      <c r="B524" s="36"/>
      <c r="C524" s="36"/>
      <c r="D524" s="36"/>
      <c r="E524" s="36"/>
      <c r="F524" s="36"/>
      <c r="G524" s="36"/>
      <c r="H524" s="36"/>
      <c r="I524" s="36"/>
    </row>
    <row r="525" spans="1:12" ht="13.5" customHeight="1">
      <c r="A525" s="9" t="s">
        <v>6</v>
      </c>
      <c r="B525" s="8">
        <v>2241</v>
      </c>
      <c r="C525" s="8">
        <v>15</v>
      </c>
      <c r="D525" s="8">
        <v>42</v>
      </c>
      <c r="E525" s="8">
        <v>154</v>
      </c>
      <c r="F525" s="8">
        <v>221</v>
      </c>
      <c r="G525" s="8">
        <v>277</v>
      </c>
      <c r="H525" s="8">
        <v>722</v>
      </c>
      <c r="I525" s="8">
        <v>810</v>
      </c>
    </row>
    <row r="526" spans="1:12" ht="13.5" customHeight="1">
      <c r="A526" s="9" t="s">
        <v>7</v>
      </c>
      <c r="B526" s="8">
        <v>44542</v>
      </c>
      <c r="C526" s="8">
        <v>5753</v>
      </c>
      <c r="D526" s="8">
        <v>11396</v>
      </c>
      <c r="E526" s="8">
        <v>13728</v>
      </c>
      <c r="F526" s="8">
        <v>7114</v>
      </c>
      <c r="G526" s="8">
        <v>3667</v>
      </c>
      <c r="H526" s="8">
        <v>1998</v>
      </c>
      <c r="I526" s="8">
        <v>886</v>
      </c>
    </row>
    <row r="527" spans="1:12" ht="13.5" customHeight="1">
      <c r="A527" s="10" t="s">
        <v>8</v>
      </c>
      <c r="B527" s="8">
        <v>27008</v>
      </c>
      <c r="C527" s="8">
        <v>4849</v>
      </c>
      <c r="D527" s="8">
        <v>6508</v>
      </c>
      <c r="E527" s="8">
        <v>7536</v>
      </c>
      <c r="F527" s="8">
        <v>4218</v>
      </c>
      <c r="G527" s="8">
        <v>2082</v>
      </c>
      <c r="H527" s="8">
        <v>1293</v>
      </c>
      <c r="I527" s="8">
        <v>522</v>
      </c>
    </row>
    <row r="528" spans="1:12" ht="13.5" customHeight="1">
      <c r="A528" s="10" t="s">
        <v>65</v>
      </c>
      <c r="B528" s="8">
        <v>1234</v>
      </c>
      <c r="C528" s="8">
        <v>314</v>
      </c>
      <c r="D528" s="8">
        <v>210</v>
      </c>
      <c r="E528" s="8">
        <v>221</v>
      </c>
      <c r="F528" s="8">
        <v>194</v>
      </c>
      <c r="G528" s="8">
        <v>85</v>
      </c>
      <c r="H528" s="8">
        <v>139</v>
      </c>
      <c r="I528" s="8">
        <v>71</v>
      </c>
    </row>
    <row r="529" spans="1:9" ht="13.5" customHeight="1">
      <c r="A529" s="106" t="s">
        <v>39</v>
      </c>
      <c r="B529" s="36"/>
      <c r="C529" s="36"/>
      <c r="D529" s="36"/>
      <c r="E529" s="36"/>
      <c r="F529" s="36"/>
      <c r="G529" s="36"/>
      <c r="H529" s="36"/>
      <c r="I529" s="36"/>
    </row>
    <row r="530" spans="1:9" ht="13.5" customHeight="1">
      <c r="A530" s="9" t="s">
        <v>10</v>
      </c>
      <c r="B530" s="8">
        <v>12440</v>
      </c>
      <c r="C530" s="8">
        <v>1530</v>
      </c>
      <c r="D530" s="8">
        <v>2351</v>
      </c>
      <c r="E530" s="8">
        <v>3283</v>
      </c>
      <c r="F530" s="8">
        <v>2028</v>
      </c>
      <c r="G530" s="8">
        <v>1254</v>
      </c>
      <c r="H530" s="8">
        <v>1226</v>
      </c>
      <c r="I530" s="8">
        <v>768</v>
      </c>
    </row>
    <row r="531" spans="1:9" ht="13.5" customHeight="1">
      <c r="A531" s="9" t="s">
        <v>11</v>
      </c>
      <c r="B531" s="8">
        <v>14691</v>
      </c>
      <c r="C531" s="8">
        <v>1436</v>
      </c>
      <c r="D531" s="8">
        <v>3888</v>
      </c>
      <c r="E531" s="8">
        <v>4819</v>
      </c>
      <c r="F531" s="8">
        <v>2398</v>
      </c>
      <c r="G531" s="8">
        <v>951</v>
      </c>
      <c r="H531" s="8">
        <v>784</v>
      </c>
      <c r="I531" s="8">
        <v>415</v>
      </c>
    </row>
    <row r="532" spans="1:9" ht="13.5" customHeight="1">
      <c r="A532" s="9" t="s">
        <v>12</v>
      </c>
      <c r="B532" s="8">
        <v>18127</v>
      </c>
      <c r="C532" s="8">
        <v>2753</v>
      </c>
      <c r="D532" s="8">
        <v>6558</v>
      </c>
      <c r="E532" s="8">
        <v>5927</v>
      </c>
      <c r="F532" s="8">
        <v>1702</v>
      </c>
      <c r="G532" s="8">
        <v>602</v>
      </c>
      <c r="H532" s="8">
        <v>366</v>
      </c>
      <c r="I532" s="8">
        <v>219</v>
      </c>
    </row>
    <row r="533" spans="1:9" ht="13.5" customHeight="1">
      <c r="A533" s="9" t="s">
        <v>13</v>
      </c>
      <c r="B533" s="8">
        <v>13825</v>
      </c>
      <c r="C533" s="8">
        <v>3393</v>
      </c>
      <c r="D533" s="8">
        <v>3131</v>
      </c>
      <c r="E533" s="8">
        <v>4263</v>
      </c>
      <c r="F533" s="8">
        <v>1736</v>
      </c>
      <c r="G533" s="8">
        <v>653</v>
      </c>
      <c r="H533" s="8">
        <v>427</v>
      </c>
      <c r="I533" s="8">
        <v>222</v>
      </c>
    </row>
    <row r="534" spans="1:9" ht="13.5" customHeight="1">
      <c r="A534" s="9" t="s">
        <v>14</v>
      </c>
      <c r="B534" s="8">
        <v>5829</v>
      </c>
      <c r="C534" s="8">
        <v>1174</v>
      </c>
      <c r="D534" s="8">
        <v>892</v>
      </c>
      <c r="E534" s="8">
        <v>1422</v>
      </c>
      <c r="F534" s="8">
        <v>1291</v>
      </c>
      <c r="G534" s="8">
        <v>551</v>
      </c>
      <c r="H534" s="8">
        <v>315</v>
      </c>
      <c r="I534" s="8">
        <v>184</v>
      </c>
    </row>
    <row r="535" spans="1:9" ht="13.5" customHeight="1">
      <c r="A535" s="9" t="s">
        <v>15</v>
      </c>
      <c r="B535" s="8">
        <v>1826</v>
      </c>
      <c r="C535" s="8">
        <v>43</v>
      </c>
      <c r="D535" s="8">
        <v>241</v>
      </c>
      <c r="E535" s="8">
        <v>434</v>
      </c>
      <c r="F535" s="8">
        <v>482</v>
      </c>
      <c r="G535" s="8">
        <v>412</v>
      </c>
      <c r="H535" s="8">
        <v>138</v>
      </c>
      <c r="I535" s="8">
        <v>76</v>
      </c>
    </row>
    <row r="536" spans="1:9" ht="13.5" customHeight="1">
      <c r="A536" s="9" t="s">
        <v>16</v>
      </c>
      <c r="B536" s="8">
        <v>1748</v>
      </c>
      <c r="C536" s="8">
        <v>104</v>
      </c>
      <c r="D536" s="8">
        <v>261</v>
      </c>
      <c r="E536" s="8">
        <v>287</v>
      </c>
      <c r="F536" s="8">
        <v>428</v>
      </c>
      <c r="G536" s="8">
        <v>390</v>
      </c>
      <c r="H536" s="8">
        <v>190</v>
      </c>
      <c r="I536" s="8">
        <v>88</v>
      </c>
    </row>
    <row r="537" spans="1:9" ht="13.5" customHeight="1">
      <c r="A537" s="9" t="s">
        <v>17</v>
      </c>
      <c r="B537" s="8">
        <v>992</v>
      </c>
      <c r="C537" s="8">
        <v>167</v>
      </c>
      <c r="D537" s="8">
        <v>182</v>
      </c>
      <c r="E537" s="8">
        <v>186</v>
      </c>
      <c r="F537" s="8">
        <v>218</v>
      </c>
      <c r="G537" s="8">
        <v>92</v>
      </c>
      <c r="H537" s="8">
        <v>83</v>
      </c>
      <c r="I537" s="8">
        <v>64</v>
      </c>
    </row>
    <row r="538" spans="1:9" ht="13.5" customHeight="1">
      <c r="A538" s="9" t="s">
        <v>18</v>
      </c>
      <c r="B538" s="8">
        <v>965</v>
      </c>
      <c r="C538" s="8">
        <v>13</v>
      </c>
      <c r="D538" s="8">
        <v>97</v>
      </c>
      <c r="E538" s="8">
        <v>236</v>
      </c>
      <c r="F538" s="8">
        <v>231</v>
      </c>
      <c r="G538" s="8">
        <v>217</v>
      </c>
      <c r="H538" s="8">
        <v>114</v>
      </c>
      <c r="I538" s="8">
        <v>57</v>
      </c>
    </row>
    <row r="539" spans="1:9" ht="13.5" customHeight="1">
      <c r="A539" s="9" t="s">
        <v>19</v>
      </c>
      <c r="B539" s="8">
        <v>994</v>
      </c>
      <c r="C539" s="8">
        <v>26</v>
      </c>
      <c r="D539" s="8">
        <v>75</v>
      </c>
      <c r="E539" s="8">
        <v>153</v>
      </c>
      <c r="F539" s="8">
        <v>259</v>
      </c>
      <c r="G539" s="8">
        <v>307</v>
      </c>
      <c r="H539" s="8">
        <v>110</v>
      </c>
      <c r="I539" s="8">
        <v>64</v>
      </c>
    </row>
    <row r="540" spans="1:9" ht="13.5" customHeight="1">
      <c r="A540" s="9" t="s">
        <v>20</v>
      </c>
      <c r="B540" s="8">
        <v>2220</v>
      </c>
      <c r="C540" s="8">
        <v>101</v>
      </c>
      <c r="D540" s="8">
        <v>247</v>
      </c>
      <c r="E540" s="8">
        <v>408</v>
      </c>
      <c r="F540" s="8">
        <v>630</v>
      </c>
      <c r="G540" s="8">
        <v>469</v>
      </c>
      <c r="H540" s="8">
        <v>285</v>
      </c>
      <c r="I540" s="8">
        <v>80</v>
      </c>
    </row>
    <row r="541" spans="1:9" ht="13.5" customHeight="1">
      <c r="A541" s="9" t="s">
        <v>132</v>
      </c>
      <c r="B541" s="8">
        <v>1368</v>
      </c>
      <c r="C541" s="8">
        <v>191</v>
      </c>
      <c r="D541" s="8">
        <v>233</v>
      </c>
      <c r="E541" s="8">
        <v>221</v>
      </c>
      <c r="F541" s="8">
        <v>344</v>
      </c>
      <c r="G541" s="8">
        <v>213</v>
      </c>
      <c r="H541" s="8">
        <v>114</v>
      </c>
      <c r="I541" s="8">
        <v>52</v>
      </c>
    </row>
    <row r="542" spans="1:9" ht="13.5" customHeight="1">
      <c r="A542" s="106" t="s">
        <v>40</v>
      </c>
      <c r="B542" s="36"/>
      <c r="C542" s="36"/>
      <c r="D542" s="36"/>
      <c r="E542" s="36"/>
      <c r="F542" s="36"/>
      <c r="G542" s="36"/>
      <c r="H542" s="36"/>
      <c r="I542" s="36"/>
    </row>
    <row r="543" spans="1:9" ht="13.5" customHeight="1">
      <c r="A543" s="9" t="s">
        <v>23</v>
      </c>
      <c r="B543" s="8">
        <v>154</v>
      </c>
      <c r="C543" s="8">
        <v>62</v>
      </c>
      <c r="D543" s="8">
        <v>17</v>
      </c>
      <c r="E543" s="8">
        <v>19</v>
      </c>
      <c r="F543" s="8">
        <v>18</v>
      </c>
      <c r="G543" s="8">
        <v>11</v>
      </c>
      <c r="H543" s="8">
        <v>18</v>
      </c>
      <c r="I543" s="8">
        <v>9</v>
      </c>
    </row>
    <row r="544" spans="1:9" ht="13.5" customHeight="1">
      <c r="A544" s="9" t="s">
        <v>24</v>
      </c>
      <c r="B544" s="8">
        <v>1844</v>
      </c>
      <c r="C544" s="8">
        <v>170</v>
      </c>
      <c r="D544" s="8">
        <v>103</v>
      </c>
      <c r="E544" s="8">
        <v>243</v>
      </c>
      <c r="F544" s="8">
        <v>262</v>
      </c>
      <c r="G544" s="8">
        <v>294</v>
      </c>
      <c r="H544" s="8">
        <v>442</v>
      </c>
      <c r="I544" s="8">
        <v>330</v>
      </c>
    </row>
    <row r="545" spans="1:13" ht="13.5" customHeight="1">
      <c r="A545" s="9" t="s">
        <v>25</v>
      </c>
      <c r="B545" s="8">
        <v>4506</v>
      </c>
      <c r="C545" s="8">
        <v>284</v>
      </c>
      <c r="D545" s="8">
        <v>591</v>
      </c>
      <c r="E545" s="8">
        <v>829</v>
      </c>
      <c r="F545" s="8">
        <v>803</v>
      </c>
      <c r="G545" s="8">
        <v>589</v>
      </c>
      <c r="H545" s="8">
        <v>693</v>
      </c>
      <c r="I545" s="8">
        <v>717</v>
      </c>
    </row>
    <row r="546" spans="1:13" ht="13.5" customHeight="1">
      <c r="A546" s="9" t="s">
        <v>26</v>
      </c>
      <c r="B546" s="8">
        <v>11589</v>
      </c>
      <c r="C546" s="8">
        <v>1348</v>
      </c>
      <c r="D546" s="8">
        <v>3059</v>
      </c>
      <c r="E546" s="8">
        <v>3620</v>
      </c>
      <c r="F546" s="8">
        <v>1840</v>
      </c>
      <c r="G546" s="8">
        <v>826</v>
      </c>
      <c r="H546" s="8">
        <v>651</v>
      </c>
      <c r="I546" s="8">
        <v>245</v>
      </c>
    </row>
    <row r="547" spans="1:13" ht="13.5" customHeight="1">
      <c r="A547" s="9" t="s">
        <v>27</v>
      </c>
      <c r="B547" s="8">
        <v>19292</v>
      </c>
      <c r="C547" s="8">
        <v>2583</v>
      </c>
      <c r="D547" s="8">
        <v>5341</v>
      </c>
      <c r="E547" s="8">
        <v>5915</v>
      </c>
      <c r="F547" s="8">
        <v>2946</v>
      </c>
      <c r="G547" s="8">
        <v>1370</v>
      </c>
      <c r="H547" s="8">
        <v>836</v>
      </c>
      <c r="I547" s="8">
        <v>301</v>
      </c>
    </row>
    <row r="548" spans="1:13" ht="13.5" customHeight="1">
      <c r="A548" s="9" t="s">
        <v>28</v>
      </c>
      <c r="B548" s="8">
        <v>15250</v>
      </c>
      <c r="C548" s="8">
        <v>2711</v>
      </c>
      <c r="D548" s="8">
        <v>3891</v>
      </c>
      <c r="E548" s="8">
        <v>4359</v>
      </c>
      <c r="F548" s="8">
        <v>2296</v>
      </c>
      <c r="G548" s="8">
        <v>1129</v>
      </c>
      <c r="H548" s="8">
        <v>585</v>
      </c>
      <c r="I548" s="8">
        <v>279</v>
      </c>
    </row>
    <row r="549" spans="1:13" ht="13.5" customHeight="1">
      <c r="A549" s="9" t="s">
        <v>29</v>
      </c>
      <c r="B549" s="8">
        <v>10648</v>
      </c>
      <c r="C549" s="8">
        <v>1824</v>
      </c>
      <c r="D549" s="8">
        <v>2507</v>
      </c>
      <c r="E549" s="8">
        <v>2993</v>
      </c>
      <c r="F549" s="8">
        <v>1760</v>
      </c>
      <c r="G549" s="8">
        <v>922</v>
      </c>
      <c r="H549" s="8">
        <v>449</v>
      </c>
      <c r="I549" s="8">
        <v>193</v>
      </c>
    </row>
    <row r="550" spans="1:13" ht="13.5" customHeight="1">
      <c r="A550" s="10" t="s">
        <v>30</v>
      </c>
      <c r="B550" s="8">
        <v>11742</v>
      </c>
      <c r="C550" s="8">
        <v>1949</v>
      </c>
      <c r="D550" s="8">
        <v>2647</v>
      </c>
      <c r="E550" s="8">
        <v>3661</v>
      </c>
      <c r="F550" s="8">
        <v>1822</v>
      </c>
      <c r="G550" s="8">
        <v>970</v>
      </c>
      <c r="H550" s="8">
        <v>478</v>
      </c>
      <c r="I550" s="8">
        <v>215</v>
      </c>
    </row>
    <row r="551" spans="1:13" ht="13.5" customHeight="1">
      <c r="A551" s="106" t="s">
        <v>44</v>
      </c>
      <c r="B551" s="36"/>
      <c r="C551" s="36"/>
      <c r="D551" s="36"/>
      <c r="E551" s="36"/>
      <c r="F551" s="36"/>
      <c r="G551" s="36"/>
      <c r="H551" s="36"/>
      <c r="I551" s="36"/>
      <c r="M551"/>
    </row>
    <row r="552" spans="1:13" ht="13.5" customHeight="1">
      <c r="A552" s="10" t="s">
        <v>45</v>
      </c>
      <c r="B552" s="8">
        <v>11427</v>
      </c>
      <c r="C552" s="8">
        <v>9734</v>
      </c>
      <c r="D552" s="8">
        <v>1505</v>
      </c>
      <c r="E552" s="8">
        <v>109</v>
      </c>
      <c r="F552" s="8">
        <v>39</v>
      </c>
      <c r="G552" s="8">
        <v>15</v>
      </c>
      <c r="H552" s="8">
        <v>14</v>
      </c>
      <c r="I552" s="8">
        <v>11</v>
      </c>
      <c r="M552"/>
    </row>
    <row r="553" spans="1:13" ht="13.5" customHeight="1">
      <c r="A553" s="10" t="s">
        <v>46</v>
      </c>
      <c r="B553" s="8">
        <v>20405</v>
      </c>
      <c r="C553" s="8">
        <v>1173</v>
      </c>
      <c r="D553" s="8">
        <v>14403</v>
      </c>
      <c r="E553" s="8">
        <v>4468</v>
      </c>
      <c r="F553" s="8">
        <v>288</v>
      </c>
      <c r="G553" s="8">
        <v>49</v>
      </c>
      <c r="H553" s="8">
        <v>19</v>
      </c>
      <c r="I553" s="8">
        <v>5</v>
      </c>
    </row>
    <row r="554" spans="1:13" ht="13.5" customHeight="1">
      <c r="A554" s="10" t="s">
        <v>47</v>
      </c>
      <c r="B554" s="8">
        <v>24010</v>
      </c>
      <c r="C554" s="8">
        <v>22</v>
      </c>
      <c r="D554" s="8">
        <v>2200</v>
      </c>
      <c r="E554" s="8">
        <v>15476</v>
      </c>
      <c r="F554" s="8">
        <v>5456</v>
      </c>
      <c r="G554" s="8">
        <v>627</v>
      </c>
      <c r="H554" s="8">
        <v>189</v>
      </c>
      <c r="I554" s="8">
        <v>40</v>
      </c>
    </row>
    <row r="555" spans="1:13" ht="13.5" customHeight="1">
      <c r="A555" s="10" t="s">
        <v>48</v>
      </c>
      <c r="B555" s="8">
        <v>11931</v>
      </c>
      <c r="C555" s="8">
        <v>1</v>
      </c>
      <c r="D555" s="8">
        <v>43</v>
      </c>
      <c r="E555" s="8">
        <v>1523</v>
      </c>
      <c r="F555" s="8">
        <v>5537</v>
      </c>
      <c r="G555" s="8">
        <v>3718</v>
      </c>
      <c r="H555" s="8">
        <v>972</v>
      </c>
      <c r="I555" s="8">
        <v>137</v>
      </c>
    </row>
    <row r="556" spans="1:13" ht="13.5" customHeight="1">
      <c r="A556" s="10" t="s">
        <v>49</v>
      </c>
      <c r="B556" s="8">
        <v>4612</v>
      </c>
      <c r="C556" s="8">
        <v>1</v>
      </c>
      <c r="D556" s="8">
        <v>5</v>
      </c>
      <c r="E556" s="8">
        <v>54</v>
      </c>
      <c r="F556" s="8">
        <v>402</v>
      </c>
      <c r="G556" s="8">
        <v>1562</v>
      </c>
      <c r="H556" s="8">
        <v>2038</v>
      </c>
      <c r="I556" s="8">
        <v>550</v>
      </c>
    </row>
    <row r="557" spans="1:13" ht="13.5" customHeight="1">
      <c r="A557" s="10" t="s">
        <v>98</v>
      </c>
      <c r="B557" s="8">
        <v>2640</v>
      </c>
      <c r="C557" s="8">
        <v>0</v>
      </c>
      <c r="D557" s="8">
        <v>0</v>
      </c>
      <c r="E557" s="8">
        <v>9</v>
      </c>
      <c r="F557" s="8">
        <v>25</v>
      </c>
      <c r="G557" s="8">
        <v>140</v>
      </c>
      <c r="H557" s="8">
        <v>920</v>
      </c>
      <c r="I557" s="8">
        <v>1546</v>
      </c>
    </row>
    <row r="558" spans="1:13" ht="13.5" customHeight="1">
      <c r="A558" s="161"/>
      <c r="C558" s="161"/>
      <c r="D558" s="161"/>
      <c r="E558" s="161"/>
      <c r="F558" s="161"/>
      <c r="G558" s="161"/>
      <c r="H558" s="161"/>
      <c r="J558"/>
      <c r="K558"/>
    </row>
    <row r="559" spans="1:13" ht="13.5" customHeight="1">
      <c r="A559" s="9" t="s">
        <v>84</v>
      </c>
      <c r="B559" s="161"/>
      <c r="C559" s="161"/>
      <c r="D559" s="161"/>
      <c r="E559" s="161"/>
      <c r="F559" s="161"/>
      <c r="G559" s="8"/>
      <c r="H559" s="8"/>
      <c r="J559"/>
      <c r="K559"/>
      <c r="L559"/>
    </row>
    <row r="560" spans="1:13" ht="13.5" customHeight="1">
      <c r="L560"/>
    </row>
    <row r="562" spans="1:11" ht="13.5" customHeight="1">
      <c r="A562" s="145" t="s">
        <v>93</v>
      </c>
      <c r="B562" s="118"/>
      <c r="C562" s="118"/>
      <c r="D562" s="118"/>
      <c r="E562" s="118"/>
      <c r="F562" s="119"/>
      <c r="G562" s="118"/>
      <c r="H562" s="54"/>
      <c r="I562" s="120"/>
    </row>
    <row r="563" spans="1:11" ht="13.5" customHeight="1">
      <c r="A563" s="55" t="s">
        <v>1</v>
      </c>
      <c r="B563" s="63"/>
      <c r="C563" s="63"/>
      <c r="D563" s="55"/>
      <c r="E563" s="55"/>
      <c r="F563" s="55"/>
      <c r="G563" s="55"/>
      <c r="H563" s="55"/>
      <c r="I563" s="64"/>
    </row>
    <row r="564" spans="1:11" ht="13.5" customHeight="1">
      <c r="A564" s="55"/>
      <c r="B564" s="63"/>
      <c r="C564" s="63"/>
      <c r="D564" s="55"/>
      <c r="E564" s="55"/>
      <c r="F564" s="55"/>
      <c r="G564" s="55"/>
      <c r="H564" s="64"/>
      <c r="I564" s="64"/>
    </row>
    <row r="565" spans="1:11" ht="13.5" customHeight="1">
      <c r="A565" s="114"/>
      <c r="B565" s="115"/>
      <c r="C565" s="116"/>
      <c r="D565" s="116"/>
      <c r="E565" s="116"/>
      <c r="F565" s="116"/>
      <c r="G565" s="116"/>
      <c r="H565" s="116"/>
      <c r="I565" s="117" t="s">
        <v>73</v>
      </c>
      <c r="K565" s="170" t="s">
        <v>126</v>
      </c>
    </row>
    <row r="566" spans="1:11" ht="13.5" customHeight="1">
      <c r="A566" s="153"/>
      <c r="B566" s="152" t="s">
        <v>2</v>
      </c>
      <c r="C566" s="152" t="s">
        <v>99</v>
      </c>
      <c r="D566" s="154" t="s">
        <v>67</v>
      </c>
      <c r="E566" s="154" t="s">
        <v>68</v>
      </c>
      <c r="F566" s="154" t="s">
        <v>69</v>
      </c>
      <c r="G566" s="154" t="s">
        <v>70</v>
      </c>
      <c r="H566" s="154" t="s">
        <v>71</v>
      </c>
      <c r="I566" s="154" t="s">
        <v>72</v>
      </c>
    </row>
    <row r="567" spans="1:11" ht="13.5" customHeight="1">
      <c r="A567" s="37" t="s">
        <v>2</v>
      </c>
      <c r="B567" s="36">
        <v>74338</v>
      </c>
      <c r="C567" s="36">
        <v>10797</v>
      </c>
      <c r="D567" s="36">
        <v>18081</v>
      </c>
      <c r="E567" s="36">
        <v>21492</v>
      </c>
      <c r="F567" s="36">
        <v>11601</v>
      </c>
      <c r="G567" s="36">
        <v>6012</v>
      </c>
      <c r="H567" s="36">
        <v>4086</v>
      </c>
      <c r="I567" s="36">
        <v>2269</v>
      </c>
    </row>
    <row r="568" spans="1:11" ht="13.5" customHeight="1">
      <c r="A568" s="37" t="s">
        <v>5</v>
      </c>
      <c r="B568" s="36"/>
      <c r="C568" s="36"/>
      <c r="D568" s="36"/>
      <c r="E568" s="36"/>
      <c r="F568" s="36"/>
      <c r="G568" s="36"/>
      <c r="H568" s="36"/>
      <c r="I568" s="36"/>
    </row>
    <row r="569" spans="1:11" ht="13.5" customHeight="1">
      <c r="A569" s="9" t="s">
        <v>6</v>
      </c>
      <c r="B569" s="8">
        <v>2231</v>
      </c>
      <c r="C569" s="8">
        <v>14</v>
      </c>
      <c r="D569" s="8">
        <v>42</v>
      </c>
      <c r="E569" s="8">
        <v>153</v>
      </c>
      <c r="F569" s="8">
        <v>226</v>
      </c>
      <c r="G569" s="8">
        <v>283</v>
      </c>
      <c r="H569" s="8">
        <v>713</v>
      </c>
      <c r="I569" s="8">
        <v>800</v>
      </c>
    </row>
    <row r="570" spans="1:11" ht="13.5" customHeight="1">
      <c r="A570" s="9" t="s">
        <v>7</v>
      </c>
      <c r="B570" s="8">
        <v>44317</v>
      </c>
      <c r="C570" s="8">
        <v>5764</v>
      </c>
      <c r="D570" s="8">
        <v>11349</v>
      </c>
      <c r="E570" s="8">
        <v>13678</v>
      </c>
      <c r="F570" s="8">
        <v>7026</v>
      </c>
      <c r="G570" s="8">
        <v>3635</v>
      </c>
      <c r="H570" s="8">
        <v>1980</v>
      </c>
      <c r="I570" s="8">
        <v>885</v>
      </c>
    </row>
    <row r="571" spans="1:11" ht="13.5" customHeight="1">
      <c r="A571" s="10" t="s">
        <v>8</v>
      </c>
      <c r="B571" s="8">
        <v>26543</v>
      </c>
      <c r="C571" s="8">
        <v>4721</v>
      </c>
      <c r="D571" s="8">
        <v>6472</v>
      </c>
      <c r="E571" s="8">
        <v>7428</v>
      </c>
      <c r="F571" s="8">
        <v>4150</v>
      </c>
      <c r="G571" s="8">
        <v>2011</v>
      </c>
      <c r="H571" s="8">
        <v>1248</v>
      </c>
      <c r="I571" s="8">
        <v>513</v>
      </c>
    </row>
    <row r="572" spans="1:11" ht="13.5" customHeight="1">
      <c r="A572" s="10" t="s">
        <v>65</v>
      </c>
      <c r="B572" s="8">
        <v>1247</v>
      </c>
      <c r="C572" s="8">
        <v>298</v>
      </c>
      <c r="D572" s="8">
        <v>218</v>
      </c>
      <c r="E572" s="8">
        <v>233</v>
      </c>
      <c r="F572" s="8">
        <v>199</v>
      </c>
      <c r="G572" s="8">
        <v>83</v>
      </c>
      <c r="H572" s="8">
        <v>145</v>
      </c>
      <c r="I572" s="8">
        <v>71</v>
      </c>
    </row>
    <row r="573" spans="1:11" ht="13.5" customHeight="1">
      <c r="A573" s="106" t="s">
        <v>39</v>
      </c>
      <c r="B573" s="36"/>
      <c r="C573" s="36"/>
      <c r="D573" s="36"/>
      <c r="E573" s="36"/>
      <c r="F573" s="36"/>
      <c r="G573" s="36"/>
      <c r="H573" s="36"/>
      <c r="I573" s="36"/>
    </row>
    <row r="574" spans="1:11" ht="13.5" customHeight="1">
      <c r="A574" s="9" t="s">
        <v>10</v>
      </c>
      <c r="B574" s="8">
        <v>12405</v>
      </c>
      <c r="C574" s="8">
        <v>1513</v>
      </c>
      <c r="D574" s="8">
        <v>2351</v>
      </c>
      <c r="E574" s="8">
        <v>3276</v>
      </c>
      <c r="F574" s="8">
        <v>2014</v>
      </c>
      <c r="G574" s="8">
        <v>1271</v>
      </c>
      <c r="H574" s="8">
        <v>1223</v>
      </c>
      <c r="I574" s="8">
        <v>757</v>
      </c>
    </row>
    <row r="575" spans="1:11" ht="13.5" customHeight="1">
      <c r="A575" s="9" t="s">
        <v>11</v>
      </c>
      <c r="B575" s="8">
        <v>14689</v>
      </c>
      <c r="C575" s="8">
        <v>1440</v>
      </c>
      <c r="D575" s="8">
        <v>3897</v>
      </c>
      <c r="E575" s="8">
        <v>4810</v>
      </c>
      <c r="F575" s="8">
        <v>2396</v>
      </c>
      <c r="G575" s="8">
        <v>947</v>
      </c>
      <c r="H575" s="8">
        <v>779</v>
      </c>
      <c r="I575" s="8">
        <v>420</v>
      </c>
    </row>
    <row r="576" spans="1:11" ht="13.5" customHeight="1">
      <c r="A576" s="9" t="s">
        <v>12</v>
      </c>
      <c r="B576" s="8">
        <v>18094</v>
      </c>
      <c r="C576" s="8">
        <v>2737</v>
      </c>
      <c r="D576" s="8">
        <v>6562</v>
      </c>
      <c r="E576" s="8">
        <v>5899</v>
      </c>
      <c r="F576" s="8">
        <v>1715</v>
      </c>
      <c r="G576" s="8">
        <v>597</v>
      </c>
      <c r="H576" s="8">
        <v>364</v>
      </c>
      <c r="I576" s="8">
        <v>220</v>
      </c>
    </row>
    <row r="577" spans="1:9" ht="13.5" customHeight="1">
      <c r="A577" s="9" t="s">
        <v>13</v>
      </c>
      <c r="B577" s="8">
        <v>13809</v>
      </c>
      <c r="C577" s="8">
        <v>3368</v>
      </c>
      <c r="D577" s="8">
        <v>3145</v>
      </c>
      <c r="E577" s="8">
        <v>4262</v>
      </c>
      <c r="F577" s="8">
        <v>1736</v>
      </c>
      <c r="G577" s="8">
        <v>652</v>
      </c>
      <c r="H577" s="8">
        <v>425</v>
      </c>
      <c r="I577" s="8">
        <v>221</v>
      </c>
    </row>
    <row r="578" spans="1:9" ht="13.5" customHeight="1">
      <c r="A578" s="9" t="s">
        <v>14</v>
      </c>
      <c r="B578" s="8">
        <v>5790</v>
      </c>
      <c r="C578" s="8">
        <v>1131</v>
      </c>
      <c r="D578" s="8">
        <v>896</v>
      </c>
      <c r="E578" s="8">
        <v>1425</v>
      </c>
      <c r="F578" s="8">
        <v>1289</v>
      </c>
      <c r="G578" s="8">
        <v>548</v>
      </c>
      <c r="H578" s="8">
        <v>316</v>
      </c>
      <c r="I578" s="8">
        <v>185</v>
      </c>
    </row>
    <row r="579" spans="1:9" ht="13.5" customHeight="1">
      <c r="A579" s="9" t="s">
        <v>15</v>
      </c>
      <c r="B579" s="8">
        <v>1826</v>
      </c>
      <c r="C579" s="8">
        <v>43</v>
      </c>
      <c r="D579" s="8">
        <v>240</v>
      </c>
      <c r="E579" s="8">
        <v>432</v>
      </c>
      <c r="F579" s="8">
        <v>484</v>
      </c>
      <c r="G579" s="8">
        <v>411</v>
      </c>
      <c r="H579" s="8">
        <v>138</v>
      </c>
      <c r="I579" s="8">
        <v>78</v>
      </c>
    </row>
    <row r="580" spans="1:9" ht="13.5" customHeight="1">
      <c r="A580" s="9" t="s">
        <v>16</v>
      </c>
      <c r="B580" s="8">
        <v>1747</v>
      </c>
      <c r="C580" s="8">
        <v>103</v>
      </c>
      <c r="D580" s="8">
        <v>261</v>
      </c>
      <c r="E580" s="8">
        <v>286</v>
      </c>
      <c r="F580" s="8">
        <v>430</v>
      </c>
      <c r="G580" s="8">
        <v>388</v>
      </c>
      <c r="H580" s="8">
        <v>190</v>
      </c>
      <c r="I580" s="8">
        <v>89</v>
      </c>
    </row>
    <row r="581" spans="1:9" ht="13.5" customHeight="1">
      <c r="A581" s="9" t="s">
        <v>17</v>
      </c>
      <c r="B581" s="8">
        <v>990</v>
      </c>
      <c r="C581" s="8">
        <v>167</v>
      </c>
      <c r="D581" s="8">
        <v>180</v>
      </c>
      <c r="E581" s="8">
        <v>186</v>
      </c>
      <c r="F581" s="8">
        <v>218</v>
      </c>
      <c r="G581" s="8">
        <v>91</v>
      </c>
      <c r="H581" s="8">
        <v>84</v>
      </c>
      <c r="I581" s="8">
        <v>64</v>
      </c>
    </row>
    <row r="582" spans="1:9" ht="13.5" customHeight="1">
      <c r="A582" s="9" t="s">
        <v>18</v>
      </c>
      <c r="B582" s="8">
        <v>964</v>
      </c>
      <c r="C582" s="8">
        <v>13</v>
      </c>
      <c r="D582" s="8">
        <v>96</v>
      </c>
      <c r="E582" s="8">
        <v>232</v>
      </c>
      <c r="F582" s="8">
        <v>236</v>
      </c>
      <c r="G582" s="8">
        <v>216</v>
      </c>
      <c r="H582" s="8">
        <v>113</v>
      </c>
      <c r="I582" s="8">
        <v>58</v>
      </c>
    </row>
    <row r="583" spans="1:9" ht="13.5" customHeight="1">
      <c r="A583" s="9" t="s">
        <v>19</v>
      </c>
      <c r="B583" s="8">
        <v>978</v>
      </c>
      <c r="C583" s="8">
        <v>26</v>
      </c>
      <c r="D583" s="8">
        <v>75</v>
      </c>
      <c r="E583" s="8">
        <v>152</v>
      </c>
      <c r="F583" s="8">
        <v>255</v>
      </c>
      <c r="G583" s="8">
        <v>297</v>
      </c>
      <c r="H583" s="8">
        <v>109</v>
      </c>
      <c r="I583" s="8">
        <v>64</v>
      </c>
    </row>
    <row r="584" spans="1:9" ht="13.5" customHeight="1">
      <c r="A584" s="9" t="s">
        <v>20</v>
      </c>
      <c r="B584" s="8">
        <v>2219</v>
      </c>
      <c r="C584" s="8">
        <v>100</v>
      </c>
      <c r="D584" s="8">
        <v>247</v>
      </c>
      <c r="E584" s="8">
        <v>408</v>
      </c>
      <c r="F584" s="8">
        <v>633</v>
      </c>
      <c r="G584" s="8">
        <v>466</v>
      </c>
      <c r="H584" s="8">
        <v>285</v>
      </c>
      <c r="I584" s="8">
        <v>80</v>
      </c>
    </row>
    <row r="585" spans="1:9" ht="13.5" customHeight="1">
      <c r="A585" s="9" t="s">
        <v>132</v>
      </c>
      <c r="B585" s="8">
        <v>827</v>
      </c>
      <c r="C585" s="8">
        <v>156</v>
      </c>
      <c r="D585" s="8">
        <v>131</v>
      </c>
      <c r="E585" s="8">
        <v>124</v>
      </c>
      <c r="F585" s="8">
        <v>195</v>
      </c>
      <c r="G585" s="8">
        <v>128</v>
      </c>
      <c r="H585" s="8">
        <v>60</v>
      </c>
      <c r="I585" s="8">
        <v>33</v>
      </c>
    </row>
    <row r="586" spans="1:9" ht="13.5" customHeight="1">
      <c r="A586" s="106" t="s">
        <v>40</v>
      </c>
      <c r="B586" s="36"/>
      <c r="C586" s="36"/>
      <c r="D586" s="36"/>
      <c r="E586" s="36"/>
      <c r="F586" s="36"/>
      <c r="G586" s="36"/>
      <c r="H586" s="36"/>
      <c r="I586" s="36"/>
    </row>
    <row r="587" spans="1:9" ht="13.5" customHeight="1">
      <c r="A587" s="9" t="s">
        <v>23</v>
      </c>
      <c r="B587" s="8">
        <v>158</v>
      </c>
      <c r="C587" s="8">
        <v>62</v>
      </c>
      <c r="D587" s="8">
        <v>17</v>
      </c>
      <c r="E587" s="8">
        <v>19</v>
      </c>
      <c r="F587" s="8">
        <v>22</v>
      </c>
      <c r="G587" s="8">
        <v>11</v>
      </c>
      <c r="H587" s="8">
        <v>18</v>
      </c>
      <c r="I587" s="8">
        <v>9</v>
      </c>
    </row>
    <row r="588" spans="1:9" ht="13.5" customHeight="1">
      <c r="A588" s="9" t="s">
        <v>24</v>
      </c>
      <c r="B588" s="8">
        <v>1794</v>
      </c>
      <c r="C588" s="8">
        <v>148</v>
      </c>
      <c r="D588" s="8">
        <v>102</v>
      </c>
      <c r="E588" s="8">
        <v>239</v>
      </c>
      <c r="F588" s="8">
        <v>256</v>
      </c>
      <c r="G588" s="8">
        <v>287</v>
      </c>
      <c r="H588" s="8">
        <v>428</v>
      </c>
      <c r="I588" s="8">
        <v>334</v>
      </c>
    </row>
    <row r="589" spans="1:9" ht="13.5" customHeight="1">
      <c r="A589" s="9" t="s">
        <v>25</v>
      </c>
      <c r="B589" s="8">
        <v>4346</v>
      </c>
      <c r="C589" s="8">
        <v>276</v>
      </c>
      <c r="D589" s="8">
        <v>591</v>
      </c>
      <c r="E589" s="8">
        <v>821</v>
      </c>
      <c r="F589" s="8">
        <v>718</v>
      </c>
      <c r="G589" s="8">
        <v>561</v>
      </c>
      <c r="H589" s="8">
        <v>680</v>
      </c>
      <c r="I589" s="8">
        <v>699</v>
      </c>
    </row>
    <row r="590" spans="1:9" ht="13.5" customHeight="1">
      <c r="A590" s="9" t="s">
        <v>26</v>
      </c>
      <c r="B590" s="8">
        <v>11612</v>
      </c>
      <c r="C590" s="8">
        <v>1357</v>
      </c>
      <c r="D590" s="8">
        <v>3044</v>
      </c>
      <c r="E590" s="8">
        <v>3642</v>
      </c>
      <c r="F590" s="8">
        <v>1841</v>
      </c>
      <c r="G590" s="8">
        <v>828</v>
      </c>
      <c r="H590" s="8">
        <v>654</v>
      </c>
      <c r="I590" s="8">
        <v>246</v>
      </c>
    </row>
    <row r="591" spans="1:9" ht="13.5" customHeight="1">
      <c r="A591" s="9" t="s">
        <v>27</v>
      </c>
      <c r="B591" s="8">
        <v>19217</v>
      </c>
      <c r="C591" s="8">
        <v>2595</v>
      </c>
      <c r="D591" s="8">
        <v>5344</v>
      </c>
      <c r="E591" s="8">
        <v>5872</v>
      </c>
      <c r="F591" s="8">
        <v>2931</v>
      </c>
      <c r="G591" s="8">
        <v>1353</v>
      </c>
      <c r="H591" s="8">
        <v>824</v>
      </c>
      <c r="I591" s="8">
        <v>298</v>
      </c>
    </row>
    <row r="592" spans="1:9" ht="13.5" customHeight="1">
      <c r="A592" s="9" t="s">
        <v>28</v>
      </c>
      <c r="B592" s="8">
        <v>14984</v>
      </c>
      <c r="C592" s="8">
        <v>2614</v>
      </c>
      <c r="D592" s="8">
        <v>3849</v>
      </c>
      <c r="E592" s="8">
        <v>4293</v>
      </c>
      <c r="F592" s="8">
        <v>2257</v>
      </c>
      <c r="G592" s="8">
        <v>1108</v>
      </c>
      <c r="H592" s="8">
        <v>570</v>
      </c>
      <c r="I592" s="8">
        <v>293</v>
      </c>
    </row>
    <row r="593" spans="1:12" ht="13.5" customHeight="1">
      <c r="A593" s="9" t="s">
        <v>29</v>
      </c>
      <c r="B593" s="8">
        <v>10559</v>
      </c>
      <c r="C593" s="8">
        <v>1795</v>
      </c>
      <c r="D593" s="8">
        <v>2494</v>
      </c>
      <c r="E593" s="8">
        <v>2981</v>
      </c>
      <c r="F593" s="8">
        <v>1760</v>
      </c>
      <c r="G593" s="8">
        <v>903</v>
      </c>
      <c r="H593" s="8">
        <v>441</v>
      </c>
      <c r="I593" s="8">
        <v>185</v>
      </c>
    </row>
    <row r="594" spans="1:12" ht="13.5" customHeight="1">
      <c r="A594" s="10" t="s">
        <v>30</v>
      </c>
      <c r="B594" s="8">
        <v>11668</v>
      </c>
      <c r="C594" s="8">
        <v>1950</v>
      </c>
      <c r="D594" s="8">
        <v>2640</v>
      </c>
      <c r="E594" s="8">
        <v>3625</v>
      </c>
      <c r="F594" s="8">
        <v>1816</v>
      </c>
      <c r="G594" s="8">
        <v>961</v>
      </c>
      <c r="H594" s="8">
        <v>471</v>
      </c>
      <c r="I594" s="8">
        <v>205</v>
      </c>
    </row>
    <row r="595" spans="1:12" ht="13.5" customHeight="1">
      <c r="A595" s="106" t="s">
        <v>44</v>
      </c>
      <c r="B595" s="36"/>
      <c r="C595" s="36"/>
      <c r="D595" s="36"/>
      <c r="E595" s="36"/>
      <c r="F595" s="36"/>
      <c r="G595" s="36"/>
      <c r="H595" s="36"/>
      <c r="I595" s="36"/>
    </row>
    <row r="596" spans="1:12" ht="13.5" customHeight="1">
      <c r="A596" s="10" t="s">
        <v>45</v>
      </c>
      <c r="B596" s="8">
        <v>11305</v>
      </c>
      <c r="C596" s="8">
        <v>9603</v>
      </c>
      <c r="D596" s="8">
        <v>1520</v>
      </c>
      <c r="E596" s="8">
        <v>102</v>
      </c>
      <c r="F596" s="8">
        <v>37</v>
      </c>
      <c r="G596" s="8">
        <v>13</v>
      </c>
      <c r="H596" s="8">
        <v>14</v>
      </c>
      <c r="I596" s="8">
        <v>16</v>
      </c>
    </row>
    <row r="597" spans="1:12" ht="13.5" customHeight="1">
      <c r="A597" s="10" t="s">
        <v>46</v>
      </c>
      <c r="B597" s="8">
        <v>20219</v>
      </c>
      <c r="C597" s="8">
        <v>1172</v>
      </c>
      <c r="D597" s="8">
        <v>14311</v>
      </c>
      <c r="E597" s="8">
        <v>4379</v>
      </c>
      <c r="F597" s="8">
        <v>285</v>
      </c>
      <c r="G597" s="8">
        <v>49</v>
      </c>
      <c r="H597" s="8">
        <v>16</v>
      </c>
      <c r="I597" s="8">
        <v>7</v>
      </c>
    </row>
    <row r="598" spans="1:12" ht="13.5" customHeight="1">
      <c r="A598" s="10" t="s">
        <v>47</v>
      </c>
      <c r="B598" s="8">
        <v>23811</v>
      </c>
      <c r="C598" s="8">
        <v>21</v>
      </c>
      <c r="D598" s="8">
        <v>2206</v>
      </c>
      <c r="E598" s="8">
        <v>15435</v>
      </c>
      <c r="F598" s="8">
        <v>5321</v>
      </c>
      <c r="G598" s="8">
        <v>599</v>
      </c>
      <c r="H598" s="8">
        <v>188</v>
      </c>
      <c r="I598" s="8">
        <v>41</v>
      </c>
    </row>
    <row r="599" spans="1:12" ht="13.5" customHeight="1">
      <c r="A599" s="10" t="s">
        <v>48</v>
      </c>
      <c r="B599" s="8">
        <v>11810</v>
      </c>
      <c r="C599" s="8">
        <v>0</v>
      </c>
      <c r="D599" s="8">
        <v>39</v>
      </c>
      <c r="E599" s="8">
        <v>1514</v>
      </c>
      <c r="F599" s="8">
        <v>5531</v>
      </c>
      <c r="G599" s="8">
        <v>3657</v>
      </c>
      <c r="H599" s="8">
        <v>928</v>
      </c>
      <c r="I599" s="8">
        <v>141</v>
      </c>
    </row>
    <row r="600" spans="1:12" ht="13.5" customHeight="1">
      <c r="A600" s="10" t="s">
        <v>49</v>
      </c>
      <c r="B600" s="8">
        <v>4566</v>
      </c>
      <c r="C600" s="8">
        <v>0</v>
      </c>
      <c r="D600" s="8">
        <v>5</v>
      </c>
      <c r="E600" s="8">
        <v>54</v>
      </c>
      <c r="F600" s="8">
        <v>403</v>
      </c>
      <c r="G600" s="8">
        <v>1556</v>
      </c>
      <c r="H600" s="8">
        <v>2018</v>
      </c>
      <c r="I600" s="8">
        <v>530</v>
      </c>
    </row>
    <row r="601" spans="1:12" ht="13.5" customHeight="1">
      <c r="A601" s="10" t="s">
        <v>98</v>
      </c>
      <c r="B601" s="8">
        <v>2627</v>
      </c>
      <c r="C601" s="8">
        <v>1</v>
      </c>
      <c r="D601" s="8">
        <v>0</v>
      </c>
      <c r="E601" s="8">
        <v>8</v>
      </c>
      <c r="F601" s="8">
        <v>24</v>
      </c>
      <c r="G601" s="8">
        <v>138</v>
      </c>
      <c r="H601" s="8">
        <v>922</v>
      </c>
      <c r="I601" s="8">
        <v>1534</v>
      </c>
    </row>
    <row r="602" spans="1:12" ht="13.5" customHeight="1">
      <c r="A602" s="161"/>
      <c r="C602" s="161"/>
      <c r="D602" s="161"/>
      <c r="E602" s="161"/>
      <c r="F602" s="161"/>
      <c r="G602" s="161"/>
      <c r="H602" s="161"/>
      <c r="J602"/>
      <c r="K602"/>
    </row>
    <row r="603" spans="1:12" ht="13.5" customHeight="1">
      <c r="A603" s="9" t="s">
        <v>84</v>
      </c>
      <c r="B603" s="161"/>
      <c r="C603" s="161"/>
      <c r="D603" s="161"/>
      <c r="E603" s="161"/>
      <c r="F603" s="161"/>
      <c r="G603" s="8"/>
      <c r="H603" s="8"/>
      <c r="J603"/>
      <c r="K603"/>
      <c r="L603"/>
    </row>
    <row r="604" spans="1:12" ht="13.5" customHeight="1">
      <c r="A604" s="10"/>
      <c r="B604" s="8"/>
      <c r="C604" s="8"/>
      <c r="D604" s="8"/>
      <c r="E604" s="8"/>
      <c r="F604" s="8"/>
      <c r="G604" s="8"/>
      <c r="H604" s="8"/>
      <c r="I604" s="8"/>
      <c r="L604"/>
    </row>
    <row r="605" spans="1:12" ht="13.5" customHeight="1">
      <c r="A605" s="65" t="s">
        <v>101</v>
      </c>
      <c r="B605" s="55"/>
      <c r="C605" s="55"/>
      <c r="D605" s="55"/>
      <c r="E605" s="55"/>
      <c r="F605" s="55"/>
      <c r="G605" s="55"/>
      <c r="H605" s="55"/>
      <c r="I605" s="55"/>
    </row>
    <row r="608" spans="1:12" ht="13.5" customHeight="1">
      <c r="A608" s="146" t="s">
        <v>94</v>
      </c>
      <c r="B608" s="57"/>
      <c r="C608" s="57"/>
      <c r="D608" s="57"/>
      <c r="E608" s="57"/>
      <c r="F608" s="59"/>
      <c r="G608" s="57"/>
      <c r="H608" s="56"/>
      <c r="I608" s="60"/>
    </row>
    <row r="609" spans="1:11" ht="13.5" customHeight="1">
      <c r="A609" s="57" t="s">
        <v>1</v>
      </c>
      <c r="B609" s="66"/>
      <c r="C609" s="66"/>
      <c r="D609" s="57"/>
      <c r="E609" s="57"/>
      <c r="F609" s="57"/>
      <c r="G609" s="57"/>
      <c r="H609" s="57"/>
      <c r="I609" s="67"/>
    </row>
    <row r="610" spans="1:11" ht="13.5" customHeight="1">
      <c r="A610" s="57"/>
      <c r="B610" s="66"/>
      <c r="C610" s="66"/>
      <c r="D610" s="57"/>
      <c r="E610" s="57"/>
      <c r="F610" s="57"/>
      <c r="G610" s="57"/>
      <c r="H610" s="67"/>
      <c r="I610" s="67"/>
    </row>
    <row r="611" spans="1:11" ht="13.5" customHeight="1">
      <c r="A611" s="114"/>
      <c r="B611" s="115"/>
      <c r="C611" s="116"/>
      <c r="D611" s="116"/>
      <c r="E611" s="116"/>
      <c r="F611" s="116"/>
      <c r="G611" s="116"/>
      <c r="H611" s="116"/>
      <c r="I611" s="117" t="s">
        <v>73</v>
      </c>
      <c r="K611" s="170" t="s">
        <v>126</v>
      </c>
    </row>
    <row r="612" spans="1:11" ht="13.5" customHeight="1">
      <c r="A612" s="153"/>
      <c r="B612" s="152" t="s">
        <v>2</v>
      </c>
      <c r="C612" s="152" t="s">
        <v>99</v>
      </c>
      <c r="D612" s="154" t="s">
        <v>67</v>
      </c>
      <c r="E612" s="154" t="s">
        <v>68</v>
      </c>
      <c r="F612" s="154" t="s">
        <v>69</v>
      </c>
      <c r="G612" s="154" t="s">
        <v>70</v>
      </c>
      <c r="H612" s="154" t="s">
        <v>71</v>
      </c>
      <c r="I612" s="154" t="s">
        <v>72</v>
      </c>
    </row>
    <row r="613" spans="1:11" ht="13.5" customHeight="1">
      <c r="A613" s="37" t="s">
        <v>2</v>
      </c>
      <c r="B613" s="36">
        <v>73712</v>
      </c>
      <c r="C613" s="36">
        <v>10490</v>
      </c>
      <c r="D613" s="36">
        <v>18027</v>
      </c>
      <c r="E613" s="36">
        <v>21467</v>
      </c>
      <c r="F613" s="36">
        <v>11563</v>
      </c>
      <c r="G613" s="36">
        <v>5935</v>
      </c>
      <c r="H613" s="36">
        <v>4037</v>
      </c>
      <c r="I613" s="36">
        <v>2193</v>
      </c>
    </row>
    <row r="614" spans="1:11" ht="13.5" customHeight="1">
      <c r="A614" s="37" t="s">
        <v>5</v>
      </c>
      <c r="B614" s="36"/>
      <c r="C614" s="36"/>
      <c r="D614" s="36"/>
      <c r="E614" s="36"/>
      <c r="F614" s="36"/>
      <c r="G614" s="36"/>
      <c r="H614" s="36"/>
      <c r="I614" s="36"/>
    </row>
    <row r="615" spans="1:11" ht="13.5" customHeight="1">
      <c r="A615" s="9" t="s">
        <v>6</v>
      </c>
      <c r="B615" s="8">
        <v>2201</v>
      </c>
      <c r="C615" s="8">
        <v>15</v>
      </c>
      <c r="D615" s="8">
        <v>48</v>
      </c>
      <c r="E615" s="8">
        <v>164</v>
      </c>
      <c r="F615" s="8">
        <v>227</v>
      </c>
      <c r="G615" s="8">
        <v>277</v>
      </c>
      <c r="H615" s="8">
        <v>706</v>
      </c>
      <c r="I615" s="8">
        <v>764</v>
      </c>
    </row>
    <row r="616" spans="1:11" ht="13.5" customHeight="1">
      <c r="A616" s="9" t="s">
        <v>7</v>
      </c>
      <c r="B616" s="8">
        <v>44029</v>
      </c>
      <c r="C616" s="8">
        <v>5577</v>
      </c>
      <c r="D616" s="8">
        <v>11314</v>
      </c>
      <c r="E616" s="8">
        <v>13745</v>
      </c>
      <c r="F616" s="8">
        <v>7013</v>
      </c>
      <c r="G616" s="8">
        <v>3584</v>
      </c>
      <c r="H616" s="8">
        <v>1931</v>
      </c>
      <c r="I616" s="8">
        <v>865</v>
      </c>
    </row>
    <row r="617" spans="1:11" ht="13.5" customHeight="1">
      <c r="A617" s="10" t="s">
        <v>8</v>
      </c>
      <c r="B617" s="8">
        <v>25940</v>
      </c>
      <c r="C617" s="8">
        <v>4537</v>
      </c>
      <c r="D617" s="8">
        <v>6437</v>
      </c>
      <c r="E617" s="8">
        <v>7240</v>
      </c>
      <c r="F617" s="8">
        <v>4079</v>
      </c>
      <c r="G617" s="8">
        <v>1957</v>
      </c>
      <c r="H617" s="8">
        <v>1219</v>
      </c>
      <c r="I617" s="8">
        <v>471</v>
      </c>
    </row>
    <row r="618" spans="1:11" ht="13.5" customHeight="1">
      <c r="A618" s="10" t="s">
        <v>65</v>
      </c>
      <c r="B618" s="8">
        <v>1542</v>
      </c>
      <c r="C618" s="8">
        <v>361</v>
      </c>
      <c r="D618" s="8">
        <v>228</v>
      </c>
      <c r="E618" s="8">
        <v>318</v>
      </c>
      <c r="F618" s="8">
        <v>244</v>
      </c>
      <c r="G618" s="8">
        <v>117</v>
      </c>
      <c r="H618" s="8">
        <v>181</v>
      </c>
      <c r="I618" s="8">
        <v>93</v>
      </c>
    </row>
    <row r="619" spans="1:11" ht="13.5" customHeight="1">
      <c r="A619" s="106" t="s">
        <v>39</v>
      </c>
      <c r="B619" s="36"/>
      <c r="C619" s="36"/>
      <c r="D619" s="36"/>
      <c r="E619" s="36"/>
      <c r="F619" s="36"/>
      <c r="G619" s="36"/>
      <c r="H619" s="36"/>
      <c r="I619" s="36"/>
    </row>
    <row r="620" spans="1:11" ht="13.5" customHeight="1">
      <c r="A620" s="9" t="s">
        <v>10</v>
      </c>
      <c r="B620" s="8">
        <v>11755</v>
      </c>
      <c r="C620" s="8">
        <v>1389</v>
      </c>
      <c r="D620" s="8">
        <v>2191</v>
      </c>
      <c r="E620" s="8">
        <v>3156</v>
      </c>
      <c r="F620" s="8">
        <v>1967</v>
      </c>
      <c r="G620" s="8">
        <v>1194</v>
      </c>
      <c r="H620" s="8">
        <v>1164</v>
      </c>
      <c r="I620" s="8">
        <v>694</v>
      </c>
    </row>
    <row r="621" spans="1:11" ht="13.5" customHeight="1">
      <c r="A621" s="9" t="s">
        <v>11</v>
      </c>
      <c r="B621" s="8">
        <v>15032</v>
      </c>
      <c r="C621" s="8">
        <v>1547</v>
      </c>
      <c r="D621" s="8">
        <v>3932</v>
      </c>
      <c r="E621" s="8">
        <v>4839</v>
      </c>
      <c r="F621" s="8">
        <v>2435</v>
      </c>
      <c r="G621" s="8">
        <v>1003</v>
      </c>
      <c r="H621" s="8">
        <v>834</v>
      </c>
      <c r="I621" s="8">
        <v>442</v>
      </c>
    </row>
    <row r="622" spans="1:11" ht="13.5" customHeight="1">
      <c r="A622" s="9" t="s">
        <v>12</v>
      </c>
      <c r="B622" s="8">
        <v>18214</v>
      </c>
      <c r="C622" s="8">
        <v>2749</v>
      </c>
      <c r="D622" s="8">
        <v>6617</v>
      </c>
      <c r="E622" s="8">
        <v>5971</v>
      </c>
      <c r="F622" s="8">
        <v>1734</v>
      </c>
      <c r="G622" s="8">
        <v>578</v>
      </c>
      <c r="H622" s="8">
        <v>345</v>
      </c>
      <c r="I622" s="8">
        <v>220</v>
      </c>
    </row>
    <row r="623" spans="1:11" ht="13.5" customHeight="1">
      <c r="A623" s="9" t="s">
        <v>13</v>
      </c>
      <c r="B623" s="8">
        <v>13676</v>
      </c>
      <c r="C623" s="8">
        <v>3197</v>
      </c>
      <c r="D623" s="8">
        <v>3194</v>
      </c>
      <c r="E623" s="8">
        <v>4246</v>
      </c>
      <c r="F623" s="8">
        <v>1736</v>
      </c>
      <c r="G623" s="8">
        <v>659</v>
      </c>
      <c r="H623" s="8">
        <v>426</v>
      </c>
      <c r="I623" s="8">
        <v>218</v>
      </c>
    </row>
    <row r="624" spans="1:11" ht="13.5" customHeight="1">
      <c r="A624" s="9" t="s">
        <v>14</v>
      </c>
      <c r="B624" s="8">
        <v>5746</v>
      </c>
      <c r="C624" s="8">
        <v>1120</v>
      </c>
      <c r="D624" s="8">
        <v>877</v>
      </c>
      <c r="E624" s="8">
        <v>1420</v>
      </c>
      <c r="F624" s="8">
        <v>1297</v>
      </c>
      <c r="G624" s="8">
        <v>545</v>
      </c>
      <c r="H624" s="8">
        <v>318</v>
      </c>
      <c r="I624" s="8">
        <v>169</v>
      </c>
    </row>
    <row r="625" spans="1:9" ht="13.5" customHeight="1">
      <c r="A625" s="9" t="s">
        <v>15</v>
      </c>
      <c r="B625" s="8">
        <v>1822</v>
      </c>
      <c r="C625" s="8">
        <v>44</v>
      </c>
      <c r="D625" s="8">
        <v>240</v>
      </c>
      <c r="E625" s="8">
        <v>437</v>
      </c>
      <c r="F625" s="8">
        <v>481</v>
      </c>
      <c r="G625" s="8">
        <v>407</v>
      </c>
      <c r="H625" s="8">
        <v>136</v>
      </c>
      <c r="I625" s="8">
        <v>77</v>
      </c>
    </row>
    <row r="626" spans="1:9" ht="13.5" customHeight="1">
      <c r="A626" s="9" t="s">
        <v>16</v>
      </c>
      <c r="B626" s="8">
        <v>1759</v>
      </c>
      <c r="C626" s="8">
        <v>111</v>
      </c>
      <c r="D626" s="8">
        <v>280</v>
      </c>
      <c r="E626" s="8">
        <v>300</v>
      </c>
      <c r="F626" s="8">
        <v>419</v>
      </c>
      <c r="G626" s="8">
        <v>378</v>
      </c>
      <c r="H626" s="8">
        <v>192</v>
      </c>
      <c r="I626" s="8">
        <v>79</v>
      </c>
    </row>
    <row r="627" spans="1:9" ht="13.5" customHeight="1">
      <c r="A627" s="9" t="s">
        <v>17</v>
      </c>
      <c r="B627" s="8">
        <v>906</v>
      </c>
      <c r="C627" s="8">
        <v>91</v>
      </c>
      <c r="D627" s="8">
        <v>177</v>
      </c>
      <c r="E627" s="8">
        <v>188</v>
      </c>
      <c r="F627" s="8">
        <v>215</v>
      </c>
      <c r="G627" s="8">
        <v>91</v>
      </c>
      <c r="H627" s="8">
        <v>80</v>
      </c>
      <c r="I627" s="8">
        <v>64</v>
      </c>
    </row>
    <row r="628" spans="1:9" ht="13.5" customHeight="1">
      <c r="A628" s="9" t="s">
        <v>18</v>
      </c>
      <c r="B628" s="8">
        <v>977</v>
      </c>
      <c r="C628" s="8">
        <v>13</v>
      </c>
      <c r="D628" s="8">
        <v>96</v>
      </c>
      <c r="E628" s="8">
        <v>253</v>
      </c>
      <c r="F628" s="8">
        <v>233</v>
      </c>
      <c r="G628" s="8">
        <v>207</v>
      </c>
      <c r="H628" s="8">
        <v>114</v>
      </c>
      <c r="I628" s="8">
        <v>61</v>
      </c>
    </row>
    <row r="629" spans="1:9" ht="13.5" customHeight="1">
      <c r="A629" s="9" t="s">
        <v>19</v>
      </c>
      <c r="B629" s="8">
        <v>993</v>
      </c>
      <c r="C629" s="8">
        <v>46</v>
      </c>
      <c r="D629" s="8">
        <v>77</v>
      </c>
      <c r="E629" s="8">
        <v>152</v>
      </c>
      <c r="F629" s="8">
        <v>252</v>
      </c>
      <c r="G629" s="8">
        <v>298</v>
      </c>
      <c r="H629" s="8">
        <v>104</v>
      </c>
      <c r="I629" s="8">
        <v>64</v>
      </c>
    </row>
    <row r="630" spans="1:9" ht="13.5" customHeight="1">
      <c r="A630" s="9" t="s">
        <v>20</v>
      </c>
      <c r="B630" s="8">
        <v>2208</v>
      </c>
      <c r="C630" s="8">
        <v>85</v>
      </c>
      <c r="D630" s="8">
        <v>246</v>
      </c>
      <c r="E630" s="8">
        <v>411</v>
      </c>
      <c r="F630" s="8">
        <v>636</v>
      </c>
      <c r="G630" s="8">
        <v>469</v>
      </c>
      <c r="H630" s="8">
        <v>282</v>
      </c>
      <c r="I630" s="8">
        <v>79</v>
      </c>
    </row>
    <row r="631" spans="1:9" ht="13.5" customHeight="1">
      <c r="A631" s="9" t="s">
        <v>132</v>
      </c>
      <c r="B631" s="8">
        <v>624</v>
      </c>
      <c r="C631" s="8">
        <v>98</v>
      </c>
      <c r="D631" s="8">
        <v>100</v>
      </c>
      <c r="E631" s="8">
        <v>94</v>
      </c>
      <c r="F631" s="8">
        <v>158</v>
      </c>
      <c r="G631" s="8">
        <v>106</v>
      </c>
      <c r="H631" s="8">
        <v>42</v>
      </c>
      <c r="I631" s="8">
        <v>26</v>
      </c>
    </row>
    <row r="632" spans="1:9" ht="13.5" customHeight="1">
      <c r="A632" s="106" t="s">
        <v>40</v>
      </c>
      <c r="B632" s="36"/>
      <c r="C632" s="36"/>
      <c r="D632" s="36"/>
      <c r="E632" s="36"/>
      <c r="F632" s="36"/>
      <c r="G632" s="36"/>
      <c r="H632" s="36"/>
      <c r="I632" s="36"/>
    </row>
    <row r="633" spans="1:9" ht="13.5" customHeight="1">
      <c r="A633" s="9" t="s">
        <v>23</v>
      </c>
      <c r="B633" s="8">
        <v>110</v>
      </c>
      <c r="C633" s="8">
        <v>12</v>
      </c>
      <c r="D633" s="8">
        <v>16</v>
      </c>
      <c r="E633" s="8">
        <v>22</v>
      </c>
      <c r="F633" s="8">
        <v>23</v>
      </c>
      <c r="G633" s="8">
        <v>10</v>
      </c>
      <c r="H633" s="8">
        <v>18</v>
      </c>
      <c r="I633" s="8">
        <v>9</v>
      </c>
    </row>
    <row r="634" spans="1:9" ht="13.5" customHeight="1">
      <c r="A634" s="9" t="s">
        <v>24</v>
      </c>
      <c r="B634" s="8">
        <v>1782</v>
      </c>
      <c r="C634" s="8">
        <v>119</v>
      </c>
      <c r="D634" s="8">
        <v>116</v>
      </c>
      <c r="E634" s="8">
        <v>255</v>
      </c>
      <c r="F634" s="8">
        <v>262</v>
      </c>
      <c r="G634" s="8">
        <v>291</v>
      </c>
      <c r="H634" s="8">
        <v>423</v>
      </c>
      <c r="I634" s="8">
        <v>316</v>
      </c>
    </row>
    <row r="635" spans="1:9" ht="13.5" customHeight="1">
      <c r="A635" s="9" t="s">
        <v>25</v>
      </c>
      <c r="B635" s="8">
        <v>4227</v>
      </c>
      <c r="C635" s="8">
        <v>266</v>
      </c>
      <c r="D635" s="8">
        <v>576</v>
      </c>
      <c r="E635" s="8">
        <v>841</v>
      </c>
      <c r="F635" s="8">
        <v>730</v>
      </c>
      <c r="G635" s="8">
        <v>537</v>
      </c>
      <c r="H635" s="8">
        <v>637</v>
      </c>
      <c r="I635" s="8">
        <v>640</v>
      </c>
    </row>
    <row r="636" spans="1:9" ht="13.5" customHeight="1">
      <c r="A636" s="9" t="s">
        <v>26</v>
      </c>
      <c r="B636" s="8">
        <v>11641</v>
      </c>
      <c r="C636" s="8">
        <v>1303</v>
      </c>
      <c r="D636" s="8">
        <v>3054</v>
      </c>
      <c r="E636" s="8">
        <v>3639</v>
      </c>
      <c r="F636" s="8">
        <v>1846</v>
      </c>
      <c r="G636" s="8">
        <v>837</v>
      </c>
      <c r="H636" s="8">
        <v>684</v>
      </c>
      <c r="I636" s="8">
        <v>278</v>
      </c>
    </row>
    <row r="637" spans="1:9" ht="13.5" customHeight="1">
      <c r="A637" s="9" t="s">
        <v>27</v>
      </c>
      <c r="B637" s="8">
        <v>19099</v>
      </c>
      <c r="C637" s="8">
        <v>2506</v>
      </c>
      <c r="D637" s="8">
        <v>5316</v>
      </c>
      <c r="E637" s="8">
        <v>5874</v>
      </c>
      <c r="F637" s="8">
        <v>2964</v>
      </c>
      <c r="G637" s="8">
        <v>1323</v>
      </c>
      <c r="H637" s="8">
        <v>824</v>
      </c>
      <c r="I637" s="8">
        <v>292</v>
      </c>
    </row>
    <row r="638" spans="1:9" ht="13.5" customHeight="1">
      <c r="A638" s="9" t="s">
        <v>28</v>
      </c>
      <c r="B638" s="8">
        <v>14843</v>
      </c>
      <c r="C638" s="8">
        <v>2604</v>
      </c>
      <c r="D638" s="8">
        <v>3883</v>
      </c>
      <c r="E638" s="8">
        <v>4249</v>
      </c>
      <c r="F638" s="8">
        <v>2171</v>
      </c>
      <c r="G638" s="8">
        <v>1082</v>
      </c>
      <c r="H638" s="8">
        <v>573</v>
      </c>
      <c r="I638" s="8">
        <v>281</v>
      </c>
    </row>
    <row r="639" spans="1:9" ht="13.5" customHeight="1">
      <c r="A639" s="9" t="s">
        <v>29</v>
      </c>
      <c r="B639" s="8">
        <v>10452</v>
      </c>
      <c r="C639" s="8">
        <v>1758</v>
      </c>
      <c r="D639" s="8">
        <v>2459</v>
      </c>
      <c r="E639" s="8">
        <v>2991</v>
      </c>
      <c r="F639" s="8">
        <v>1744</v>
      </c>
      <c r="G639" s="8">
        <v>896</v>
      </c>
      <c r="H639" s="8">
        <v>415</v>
      </c>
      <c r="I639" s="8">
        <v>189</v>
      </c>
    </row>
    <row r="640" spans="1:9" ht="13.5" customHeight="1">
      <c r="A640" s="10" t="s">
        <v>43</v>
      </c>
      <c r="B640" s="8">
        <v>11558</v>
      </c>
      <c r="C640" s="8">
        <v>1922</v>
      </c>
      <c r="D640" s="8">
        <v>2607</v>
      </c>
      <c r="E640" s="8">
        <v>3596</v>
      </c>
      <c r="F640" s="8">
        <v>1823</v>
      </c>
      <c r="G640" s="8">
        <v>959</v>
      </c>
      <c r="H640" s="8">
        <v>463</v>
      </c>
      <c r="I640" s="8">
        <v>188</v>
      </c>
    </row>
    <row r="641" spans="1:12" ht="13.5" customHeight="1">
      <c r="A641" s="106" t="s">
        <v>44</v>
      </c>
      <c r="B641" s="36"/>
      <c r="C641" s="36"/>
      <c r="D641" s="36"/>
      <c r="E641" s="36"/>
      <c r="F641" s="36"/>
      <c r="G641" s="36"/>
      <c r="H641" s="36"/>
      <c r="I641" s="36"/>
    </row>
    <row r="642" spans="1:12" ht="13.5" customHeight="1">
      <c r="A642" s="10" t="s">
        <v>45</v>
      </c>
      <c r="B642" s="8">
        <v>10933</v>
      </c>
      <c r="C642" s="8">
        <v>9278</v>
      </c>
      <c r="D642" s="8">
        <v>1491</v>
      </c>
      <c r="E642" s="8">
        <v>94</v>
      </c>
      <c r="F642" s="8">
        <v>33</v>
      </c>
      <c r="G642" s="8">
        <v>11</v>
      </c>
      <c r="H642" s="8">
        <v>10</v>
      </c>
      <c r="I642" s="8">
        <v>16</v>
      </c>
    </row>
    <row r="643" spans="1:12" ht="13.5" customHeight="1">
      <c r="A643" s="10" t="s">
        <v>46</v>
      </c>
      <c r="B643" s="8">
        <v>20146</v>
      </c>
      <c r="C643" s="8">
        <v>1190</v>
      </c>
      <c r="D643" s="8">
        <v>14264</v>
      </c>
      <c r="E643" s="8">
        <v>4285</v>
      </c>
      <c r="F643" s="8">
        <v>283</v>
      </c>
      <c r="G643" s="8">
        <v>62</v>
      </c>
      <c r="H643" s="8">
        <v>45</v>
      </c>
      <c r="I643" s="8">
        <v>17</v>
      </c>
    </row>
    <row r="644" spans="1:12" ht="13.5" customHeight="1">
      <c r="A644" s="10" t="s">
        <v>47</v>
      </c>
      <c r="B644" s="8">
        <v>23810</v>
      </c>
      <c r="C644" s="8">
        <v>20</v>
      </c>
      <c r="D644" s="8">
        <v>2223</v>
      </c>
      <c r="E644" s="8">
        <v>15495</v>
      </c>
      <c r="F644" s="8">
        <v>5250</v>
      </c>
      <c r="G644" s="8">
        <v>586</v>
      </c>
      <c r="H644" s="8">
        <v>188</v>
      </c>
      <c r="I644" s="8">
        <v>48</v>
      </c>
    </row>
    <row r="645" spans="1:12" ht="13.5" customHeight="1">
      <c r="A645" s="10" t="s">
        <v>48</v>
      </c>
      <c r="B645" s="8">
        <v>11735</v>
      </c>
      <c r="C645" s="8">
        <v>1</v>
      </c>
      <c r="D645" s="8">
        <v>42</v>
      </c>
      <c r="E645" s="8">
        <v>1507</v>
      </c>
      <c r="F645" s="8">
        <v>5563</v>
      </c>
      <c r="G645" s="8">
        <v>3597</v>
      </c>
      <c r="H645" s="8">
        <v>895</v>
      </c>
      <c r="I645" s="8">
        <v>130</v>
      </c>
    </row>
    <row r="646" spans="1:12" ht="13.5" customHeight="1">
      <c r="A646" s="10" t="s">
        <v>49</v>
      </c>
      <c r="B646" s="8">
        <v>4513</v>
      </c>
      <c r="C646" s="8">
        <v>1</v>
      </c>
      <c r="D646" s="8">
        <v>7</v>
      </c>
      <c r="E646" s="8">
        <v>73</v>
      </c>
      <c r="F646" s="8">
        <v>400</v>
      </c>
      <c r="G646" s="8">
        <v>1542</v>
      </c>
      <c r="H646" s="8">
        <v>2000</v>
      </c>
      <c r="I646" s="8">
        <v>490</v>
      </c>
    </row>
    <row r="647" spans="1:12" ht="13.5" customHeight="1">
      <c r="A647" s="10" t="s">
        <v>50</v>
      </c>
      <c r="B647" s="8">
        <v>2575</v>
      </c>
      <c r="C647" s="8">
        <v>0</v>
      </c>
      <c r="D647" s="8">
        <v>0</v>
      </c>
      <c r="E647" s="8">
        <v>13</v>
      </c>
      <c r="F647" s="8">
        <v>34</v>
      </c>
      <c r="G647" s="8">
        <v>137</v>
      </c>
      <c r="H647" s="8">
        <v>899</v>
      </c>
      <c r="I647" s="8">
        <v>1492</v>
      </c>
    </row>
    <row r="648" spans="1:12" ht="13.5" customHeight="1">
      <c r="A648" s="161"/>
      <c r="C648" s="161"/>
      <c r="D648" s="161"/>
      <c r="E648" s="161"/>
      <c r="F648" s="161"/>
      <c r="G648" s="161"/>
      <c r="H648" s="161"/>
      <c r="J648"/>
      <c r="K648"/>
    </row>
    <row r="649" spans="1:12" ht="13.5" customHeight="1">
      <c r="A649" s="9" t="s">
        <v>84</v>
      </c>
      <c r="B649" s="161"/>
      <c r="C649" s="161"/>
      <c r="D649" s="161"/>
      <c r="E649" s="161"/>
      <c r="F649" s="161"/>
      <c r="G649" s="8"/>
      <c r="H649" s="8"/>
      <c r="J649"/>
      <c r="K649"/>
      <c r="L649"/>
    </row>
    <row r="650" spans="1:12" ht="13.5" customHeight="1">
      <c r="A650" s="10"/>
      <c r="B650" s="8"/>
      <c r="C650" s="8"/>
      <c r="D650" s="8"/>
      <c r="E650" s="8"/>
      <c r="F650" s="8"/>
      <c r="G650" s="8"/>
      <c r="H650" s="8"/>
      <c r="I650" s="8"/>
      <c r="L650"/>
    </row>
    <row r="651" spans="1:12" ht="13.5" customHeight="1">
      <c r="A651" s="68" t="s">
        <v>101</v>
      </c>
      <c r="B651" s="57"/>
      <c r="C651" s="57"/>
      <c r="D651" s="57"/>
      <c r="E651" s="57"/>
      <c r="F651" s="57"/>
      <c r="G651" s="57"/>
      <c r="H651" s="57"/>
      <c r="I651" s="57"/>
    </row>
    <row r="654" spans="1:12" ht="13.5" customHeight="1">
      <c r="A654" s="146" t="s">
        <v>134</v>
      </c>
      <c r="B654" s="57"/>
      <c r="C654" s="57"/>
      <c r="D654" s="57"/>
      <c r="E654" s="57"/>
      <c r="F654" s="59"/>
      <c r="G654" s="57"/>
      <c r="H654" s="56"/>
      <c r="I654" s="60"/>
    </row>
    <row r="655" spans="1:12" ht="13.5" customHeight="1">
      <c r="A655" s="57" t="s">
        <v>1</v>
      </c>
      <c r="B655" s="66"/>
      <c r="C655" s="66"/>
      <c r="D655" s="57"/>
      <c r="E655" s="57"/>
      <c r="F655" s="57"/>
      <c r="G655" s="57"/>
      <c r="H655" s="57"/>
      <c r="I655" s="67"/>
    </row>
    <row r="656" spans="1:12" ht="13.5" customHeight="1">
      <c r="A656" s="57"/>
      <c r="B656" s="66"/>
      <c r="C656" s="66"/>
      <c r="D656" s="57"/>
      <c r="E656" s="57"/>
      <c r="F656" s="57"/>
      <c r="G656" s="57"/>
      <c r="H656" s="67"/>
      <c r="I656" s="67"/>
    </row>
    <row r="657" spans="1:11" ht="13.5" customHeight="1">
      <c r="A657" s="114"/>
      <c r="B657" s="115"/>
      <c r="C657" s="116"/>
      <c r="D657" s="116"/>
      <c r="E657" s="116"/>
      <c r="F657" s="116"/>
      <c r="G657" s="116"/>
      <c r="H657" s="116"/>
      <c r="I657" s="117" t="s">
        <v>73</v>
      </c>
      <c r="K657" s="170" t="s">
        <v>126</v>
      </c>
    </row>
    <row r="658" spans="1:11" ht="13.5" customHeight="1">
      <c r="A658" s="153"/>
      <c r="B658" s="152" t="s">
        <v>2</v>
      </c>
      <c r="C658" s="152" t="s">
        <v>99</v>
      </c>
      <c r="D658" s="154" t="s">
        <v>67</v>
      </c>
      <c r="E658" s="154" t="s">
        <v>68</v>
      </c>
      <c r="F658" s="154" t="s">
        <v>69</v>
      </c>
      <c r="G658" s="154" t="s">
        <v>70</v>
      </c>
      <c r="H658" s="154" t="s">
        <v>71</v>
      </c>
      <c r="I658" s="154" t="s">
        <v>72</v>
      </c>
    </row>
    <row r="659" spans="1:11" ht="13.5" customHeight="1">
      <c r="A659" s="37" t="s">
        <v>2</v>
      </c>
      <c r="B659" s="36"/>
      <c r="C659" s="36"/>
      <c r="D659" s="36"/>
      <c r="E659" s="36"/>
      <c r="F659" s="36"/>
      <c r="G659" s="36"/>
      <c r="H659" s="36"/>
      <c r="I659" s="36"/>
    </row>
    <row r="660" spans="1:11" ht="13.5" customHeight="1">
      <c r="A660" s="37" t="s">
        <v>5</v>
      </c>
      <c r="B660" s="36">
        <v>73209</v>
      </c>
      <c r="C660" s="36">
        <v>10196</v>
      </c>
      <c r="D660" s="36">
        <v>18155</v>
      </c>
      <c r="E660" s="36">
        <v>21472</v>
      </c>
      <c r="F660" s="36">
        <v>11555</v>
      </c>
      <c r="G660" s="36">
        <v>5717</v>
      </c>
      <c r="H660" s="36">
        <v>3953</v>
      </c>
      <c r="I660" s="36">
        <v>2161</v>
      </c>
    </row>
    <row r="661" spans="1:11" ht="13.5" customHeight="1">
      <c r="A661" s="9" t="s">
        <v>6</v>
      </c>
      <c r="B661" s="8">
        <v>2152</v>
      </c>
      <c r="C661" s="8">
        <v>13</v>
      </c>
      <c r="D661" s="8">
        <v>48</v>
      </c>
      <c r="E661" s="8">
        <v>163</v>
      </c>
      <c r="F661" s="8">
        <v>237</v>
      </c>
      <c r="G661" s="8">
        <v>276</v>
      </c>
      <c r="H661" s="8">
        <v>672</v>
      </c>
      <c r="I661" s="8">
        <v>743</v>
      </c>
    </row>
    <row r="662" spans="1:11" ht="13.5" customHeight="1">
      <c r="A662" s="9" t="s">
        <v>7</v>
      </c>
      <c r="B662" s="8">
        <v>43939</v>
      </c>
      <c r="C662" s="8">
        <v>5517</v>
      </c>
      <c r="D662" s="8">
        <v>11492</v>
      </c>
      <c r="E662" s="8">
        <v>13767</v>
      </c>
      <c r="F662" s="8">
        <v>6940</v>
      </c>
      <c r="G662" s="8">
        <v>3419</v>
      </c>
      <c r="H662" s="8">
        <v>1943</v>
      </c>
      <c r="I662" s="8">
        <v>861</v>
      </c>
    </row>
    <row r="663" spans="1:11" ht="13.5" customHeight="1">
      <c r="A663" s="10" t="s">
        <v>8</v>
      </c>
      <c r="B663" s="8">
        <v>25539</v>
      </c>
      <c r="C663" s="8">
        <v>4350</v>
      </c>
      <c r="D663" s="8">
        <v>6382</v>
      </c>
      <c r="E663" s="8">
        <v>7175</v>
      </c>
      <c r="F663" s="8">
        <v>4104</v>
      </c>
      <c r="G663" s="8">
        <v>1895</v>
      </c>
      <c r="H663" s="8">
        <v>1163</v>
      </c>
      <c r="I663" s="8">
        <v>470</v>
      </c>
    </row>
    <row r="664" spans="1:11" ht="13.5" customHeight="1">
      <c r="A664" s="10" t="s">
        <v>65</v>
      </c>
      <c r="B664" s="8">
        <v>1579</v>
      </c>
      <c r="C664" s="8">
        <v>316</v>
      </c>
      <c r="D664" s="8">
        <v>233</v>
      </c>
      <c r="E664" s="8">
        <v>367</v>
      </c>
      <c r="F664" s="8">
        <v>274</v>
      </c>
      <c r="G664" s="8">
        <v>127</v>
      </c>
      <c r="H664" s="8">
        <v>175</v>
      </c>
      <c r="I664" s="8">
        <v>87</v>
      </c>
    </row>
    <row r="665" spans="1:11" ht="13.5" customHeight="1">
      <c r="A665" s="106" t="s">
        <v>39</v>
      </c>
      <c r="B665" s="36"/>
      <c r="C665" s="36"/>
      <c r="D665" s="36"/>
      <c r="E665" s="36"/>
      <c r="F665" s="36"/>
      <c r="G665" s="36"/>
      <c r="H665" s="36"/>
      <c r="I665" s="36"/>
    </row>
    <row r="666" spans="1:11" ht="13.5" customHeight="1">
      <c r="A666" s="9" t="s">
        <v>10</v>
      </c>
      <c r="B666" s="8">
        <v>13327</v>
      </c>
      <c r="C666" s="8">
        <v>1640</v>
      </c>
      <c r="D666" s="8">
        <v>2660</v>
      </c>
      <c r="E666" s="8">
        <v>3668</v>
      </c>
      <c r="F666" s="8">
        <v>2237</v>
      </c>
      <c r="G666" s="8">
        <v>1173</v>
      </c>
      <c r="H666" s="8">
        <v>1203</v>
      </c>
      <c r="I666" s="8">
        <v>746</v>
      </c>
    </row>
    <row r="667" spans="1:11" ht="13.5" customHeight="1">
      <c r="A667" s="9" t="s">
        <v>11</v>
      </c>
      <c r="B667" s="8">
        <v>14355</v>
      </c>
      <c r="C667" s="8">
        <v>1505</v>
      </c>
      <c r="D667" s="8">
        <v>3771</v>
      </c>
      <c r="E667" s="8">
        <v>4578</v>
      </c>
      <c r="F667" s="8">
        <v>2348</v>
      </c>
      <c r="G667" s="8">
        <v>942</v>
      </c>
      <c r="H667" s="8">
        <v>805</v>
      </c>
      <c r="I667" s="8">
        <v>406</v>
      </c>
    </row>
    <row r="668" spans="1:11" ht="13.5" customHeight="1">
      <c r="A668" s="9" t="s">
        <v>12</v>
      </c>
      <c r="B668" s="8">
        <v>17313</v>
      </c>
      <c r="C668" s="8">
        <v>2585</v>
      </c>
      <c r="D668" s="8">
        <v>6336</v>
      </c>
      <c r="E668" s="8">
        <v>5601</v>
      </c>
      <c r="F668" s="8">
        <v>1656</v>
      </c>
      <c r="G668" s="8">
        <v>575</v>
      </c>
      <c r="H668" s="8">
        <v>337</v>
      </c>
      <c r="I668" s="8">
        <v>223</v>
      </c>
    </row>
    <row r="669" spans="1:11" ht="13.5" customHeight="1">
      <c r="A669" s="9" t="s">
        <v>13</v>
      </c>
      <c r="B669" s="8">
        <v>12582</v>
      </c>
      <c r="C669" s="8">
        <v>2720</v>
      </c>
      <c r="D669" s="8">
        <v>3103</v>
      </c>
      <c r="E669" s="8">
        <v>4105</v>
      </c>
      <c r="F669" s="8">
        <v>1521</v>
      </c>
      <c r="G669" s="8">
        <v>570</v>
      </c>
      <c r="H669" s="8">
        <v>360</v>
      </c>
      <c r="I669" s="8">
        <v>203</v>
      </c>
    </row>
    <row r="670" spans="1:11" ht="13.5" customHeight="1">
      <c r="A670" s="9" t="s">
        <v>14</v>
      </c>
      <c r="B670" s="8">
        <v>6093</v>
      </c>
      <c r="C670" s="8">
        <v>1293</v>
      </c>
      <c r="D670" s="8">
        <v>997</v>
      </c>
      <c r="E670" s="8">
        <v>1596</v>
      </c>
      <c r="F670" s="8">
        <v>1268</v>
      </c>
      <c r="G670" s="8">
        <v>446</v>
      </c>
      <c r="H670" s="8">
        <v>326</v>
      </c>
      <c r="I670" s="8">
        <v>167</v>
      </c>
    </row>
    <row r="671" spans="1:11" ht="13.5" customHeight="1">
      <c r="A671" s="9" t="s">
        <v>15</v>
      </c>
      <c r="B671" s="8">
        <v>1320</v>
      </c>
      <c r="C671" s="8">
        <v>27</v>
      </c>
      <c r="D671" s="8">
        <v>213</v>
      </c>
      <c r="E671" s="8">
        <v>292</v>
      </c>
      <c r="F671" s="8">
        <v>398</v>
      </c>
      <c r="G671" s="8">
        <v>221</v>
      </c>
      <c r="H671" s="8">
        <v>111</v>
      </c>
      <c r="I671" s="8">
        <v>58</v>
      </c>
    </row>
    <row r="672" spans="1:11" ht="13.5" customHeight="1">
      <c r="A672" s="9" t="s">
        <v>16</v>
      </c>
      <c r="B672" s="8">
        <v>1794</v>
      </c>
      <c r="C672" s="8">
        <v>126</v>
      </c>
      <c r="D672" s="8">
        <v>258</v>
      </c>
      <c r="E672" s="8">
        <v>252</v>
      </c>
      <c r="F672" s="8">
        <v>458</v>
      </c>
      <c r="G672" s="8">
        <v>426</v>
      </c>
      <c r="H672" s="8">
        <v>194</v>
      </c>
      <c r="I672" s="8">
        <v>80</v>
      </c>
    </row>
    <row r="673" spans="1:9" ht="13.5" customHeight="1">
      <c r="A673" s="9" t="s">
        <v>17</v>
      </c>
      <c r="B673" s="8">
        <v>823</v>
      </c>
      <c r="C673" s="8">
        <v>67</v>
      </c>
      <c r="D673" s="8">
        <v>131</v>
      </c>
      <c r="E673" s="8">
        <v>175</v>
      </c>
      <c r="F673" s="8">
        <v>204</v>
      </c>
      <c r="G673" s="8">
        <v>86</v>
      </c>
      <c r="H673" s="8">
        <v>82</v>
      </c>
      <c r="I673" s="8">
        <v>78</v>
      </c>
    </row>
    <row r="674" spans="1:9" ht="13.5" customHeight="1">
      <c r="A674" s="9" t="s">
        <v>18</v>
      </c>
      <c r="B674" s="8">
        <v>2495</v>
      </c>
      <c r="C674" s="8">
        <v>104</v>
      </c>
      <c r="D674" s="8">
        <v>364</v>
      </c>
      <c r="E674" s="8">
        <v>661</v>
      </c>
      <c r="F674" s="8">
        <v>606</v>
      </c>
      <c r="G674" s="8">
        <v>526</v>
      </c>
      <c r="H674" s="8">
        <v>177</v>
      </c>
      <c r="I674" s="8">
        <v>57</v>
      </c>
    </row>
    <row r="675" spans="1:9" ht="13.5" customHeight="1">
      <c r="A675" s="9" t="s">
        <v>19</v>
      </c>
      <c r="B675" s="8">
        <v>998</v>
      </c>
      <c r="C675" s="8">
        <v>46</v>
      </c>
      <c r="D675" s="8">
        <v>75</v>
      </c>
      <c r="E675" s="8">
        <v>158</v>
      </c>
      <c r="F675" s="8">
        <v>250</v>
      </c>
      <c r="G675" s="8">
        <v>303</v>
      </c>
      <c r="H675" s="8">
        <v>105</v>
      </c>
      <c r="I675" s="8">
        <v>61</v>
      </c>
    </row>
    <row r="676" spans="1:9" ht="13.5" customHeight="1">
      <c r="A676" s="9" t="s">
        <v>20</v>
      </c>
      <c r="B676" s="8">
        <v>2109</v>
      </c>
      <c r="C676" s="8">
        <v>83</v>
      </c>
      <c r="D676" s="8">
        <v>247</v>
      </c>
      <c r="E676" s="8">
        <v>386</v>
      </c>
      <c r="F676" s="8">
        <v>609</v>
      </c>
      <c r="G676" s="8">
        <v>449</v>
      </c>
      <c r="H676" s="8">
        <v>253</v>
      </c>
      <c r="I676" s="8">
        <v>82</v>
      </c>
    </row>
    <row r="677" spans="1:9" ht="13.5" customHeight="1">
      <c r="A677" s="106" t="s">
        <v>40</v>
      </c>
      <c r="B677" s="36"/>
      <c r="C677" s="36"/>
      <c r="D677" s="36"/>
      <c r="E677" s="36"/>
      <c r="F677" s="36"/>
      <c r="G677" s="36"/>
      <c r="H677" s="36"/>
      <c r="I677" s="36"/>
    </row>
    <row r="678" spans="1:9" ht="13.5" customHeight="1">
      <c r="A678" s="9" t="s">
        <v>23</v>
      </c>
      <c r="B678" s="8">
        <v>106</v>
      </c>
      <c r="C678" s="8">
        <v>13</v>
      </c>
      <c r="D678" s="8">
        <v>16</v>
      </c>
      <c r="E678" s="8">
        <v>22</v>
      </c>
      <c r="F678" s="8">
        <v>24</v>
      </c>
      <c r="G678" s="8">
        <v>8</v>
      </c>
      <c r="H678" s="8">
        <v>16</v>
      </c>
      <c r="I678" s="8">
        <v>7</v>
      </c>
    </row>
    <row r="679" spans="1:9" ht="13.5" customHeight="1">
      <c r="A679" s="9" t="s">
        <v>24</v>
      </c>
      <c r="B679" s="8">
        <v>1806</v>
      </c>
      <c r="C679" s="8">
        <v>143</v>
      </c>
      <c r="D679" s="8">
        <v>128</v>
      </c>
      <c r="E679" s="8">
        <v>268</v>
      </c>
      <c r="F679" s="8">
        <v>265</v>
      </c>
      <c r="G679" s="8">
        <v>281</v>
      </c>
      <c r="H679" s="8">
        <v>415</v>
      </c>
      <c r="I679" s="8">
        <v>306</v>
      </c>
    </row>
    <row r="680" spans="1:9" ht="13.5" customHeight="1">
      <c r="A680" s="9" t="s">
        <v>25</v>
      </c>
      <c r="B680" s="8">
        <v>4060</v>
      </c>
      <c r="C680" s="8">
        <v>260</v>
      </c>
      <c r="D680" s="8">
        <v>559</v>
      </c>
      <c r="E680" s="8">
        <v>844</v>
      </c>
      <c r="F680" s="8">
        <v>683</v>
      </c>
      <c r="G680" s="8">
        <v>486</v>
      </c>
      <c r="H680" s="8">
        <v>608</v>
      </c>
      <c r="I680" s="8">
        <v>620</v>
      </c>
    </row>
    <row r="681" spans="1:9" ht="13.5" customHeight="1">
      <c r="A681" s="9" t="s">
        <v>26</v>
      </c>
      <c r="B681" s="8">
        <v>11707</v>
      </c>
      <c r="C681" s="8">
        <v>1322</v>
      </c>
      <c r="D681" s="8">
        <v>3082</v>
      </c>
      <c r="E681" s="8">
        <v>3682</v>
      </c>
      <c r="F681" s="8">
        <v>1889</v>
      </c>
      <c r="G681" s="8">
        <v>776</v>
      </c>
      <c r="H681" s="8">
        <v>677</v>
      </c>
      <c r="I681" s="8">
        <v>279</v>
      </c>
    </row>
    <row r="682" spans="1:9" ht="13.5" customHeight="1">
      <c r="A682" s="9" t="s">
        <v>27</v>
      </c>
      <c r="B682" s="8">
        <v>19101</v>
      </c>
      <c r="C682" s="8">
        <v>2415</v>
      </c>
      <c r="D682" s="8">
        <v>5353</v>
      </c>
      <c r="E682" s="8">
        <v>5868</v>
      </c>
      <c r="F682" s="8">
        <v>3058</v>
      </c>
      <c r="G682" s="8">
        <v>1309</v>
      </c>
      <c r="H682" s="8">
        <v>814</v>
      </c>
      <c r="I682" s="8">
        <v>284</v>
      </c>
    </row>
    <row r="683" spans="1:9" ht="13.5" customHeight="1">
      <c r="A683" s="9" t="s">
        <v>28</v>
      </c>
      <c r="B683" s="8">
        <v>14527</v>
      </c>
      <c r="C683" s="8">
        <v>2502</v>
      </c>
      <c r="D683" s="8">
        <v>3879</v>
      </c>
      <c r="E683" s="8">
        <v>4201</v>
      </c>
      <c r="F683" s="8">
        <v>2082</v>
      </c>
      <c r="G683" s="8">
        <v>1026</v>
      </c>
      <c r="H683" s="8">
        <v>560</v>
      </c>
      <c r="I683" s="8">
        <v>277</v>
      </c>
    </row>
    <row r="684" spans="1:9" ht="13.5" customHeight="1">
      <c r="A684" s="9" t="s">
        <v>29</v>
      </c>
      <c r="B684" s="8">
        <v>10557</v>
      </c>
      <c r="C684" s="8">
        <v>1771</v>
      </c>
      <c r="D684" s="8">
        <v>2541</v>
      </c>
      <c r="E684" s="8">
        <v>2959</v>
      </c>
      <c r="F684" s="8">
        <v>1767</v>
      </c>
      <c r="G684" s="8">
        <v>864</v>
      </c>
      <c r="H684" s="8">
        <v>444</v>
      </c>
      <c r="I684" s="8">
        <v>211</v>
      </c>
    </row>
    <row r="685" spans="1:9" ht="13.5" customHeight="1">
      <c r="A685" s="10" t="s">
        <v>43</v>
      </c>
      <c r="B685" s="8">
        <v>11345</v>
      </c>
      <c r="C685" s="8">
        <v>1770</v>
      </c>
      <c r="D685" s="8">
        <v>2597</v>
      </c>
      <c r="E685" s="8">
        <v>3628</v>
      </c>
      <c r="F685" s="8">
        <v>1787</v>
      </c>
      <c r="G685" s="8">
        <v>967</v>
      </c>
      <c r="H685" s="8">
        <v>419</v>
      </c>
      <c r="I685" s="8">
        <v>177</v>
      </c>
    </row>
    <row r="686" spans="1:9" ht="13.5" customHeight="1">
      <c r="A686" s="106" t="s">
        <v>44</v>
      </c>
      <c r="B686" s="36"/>
      <c r="C686" s="36"/>
      <c r="D686" s="36"/>
      <c r="E686" s="36"/>
      <c r="F686" s="36"/>
      <c r="G686" s="36"/>
      <c r="H686" s="36"/>
      <c r="I686" s="36"/>
    </row>
    <row r="687" spans="1:9" ht="13.5" customHeight="1">
      <c r="A687" s="10" t="s">
        <v>45</v>
      </c>
      <c r="B687" s="8">
        <v>10362</v>
      </c>
      <c r="C687" s="8">
        <v>8857</v>
      </c>
      <c r="D687" s="8">
        <v>1358</v>
      </c>
      <c r="E687" s="8">
        <v>95</v>
      </c>
      <c r="F687" s="8">
        <v>27</v>
      </c>
      <c r="G687" s="8">
        <v>6</v>
      </c>
      <c r="H687" s="8">
        <v>8</v>
      </c>
      <c r="I687" s="8">
        <v>11</v>
      </c>
    </row>
    <row r="688" spans="1:9" ht="13.5" customHeight="1">
      <c r="A688" s="10" t="s">
        <v>46</v>
      </c>
      <c r="B688" s="8">
        <v>19932</v>
      </c>
      <c r="C688" s="8">
        <v>1320</v>
      </c>
      <c r="D688" s="8">
        <v>14234</v>
      </c>
      <c r="E688" s="8">
        <v>3995</v>
      </c>
      <c r="F688" s="8">
        <v>271</v>
      </c>
      <c r="G688" s="8">
        <v>63</v>
      </c>
      <c r="H688" s="8">
        <v>46</v>
      </c>
      <c r="I688" s="8">
        <v>3</v>
      </c>
    </row>
    <row r="689" spans="1:12" ht="13.5" customHeight="1">
      <c r="A689" s="10" t="s">
        <v>47</v>
      </c>
      <c r="B689" s="8">
        <v>23265</v>
      </c>
      <c r="C689" s="8">
        <v>18</v>
      </c>
      <c r="D689" s="8">
        <v>2484</v>
      </c>
      <c r="E689" s="8">
        <v>15235</v>
      </c>
      <c r="F689" s="8">
        <v>4778</v>
      </c>
      <c r="G689" s="8">
        <v>547</v>
      </c>
      <c r="H689" s="8">
        <v>165</v>
      </c>
      <c r="I689" s="8">
        <v>38</v>
      </c>
    </row>
    <row r="690" spans="1:12" ht="13.5" customHeight="1">
      <c r="A690" s="10" t="s">
        <v>48</v>
      </c>
      <c r="B690" s="8">
        <v>11909</v>
      </c>
      <c r="C690" s="8">
        <v>1</v>
      </c>
      <c r="D690" s="8">
        <v>68</v>
      </c>
      <c r="E690" s="8">
        <v>2033</v>
      </c>
      <c r="F690" s="8">
        <v>5782</v>
      </c>
      <c r="G690" s="8">
        <v>3087</v>
      </c>
      <c r="H690" s="8">
        <v>831</v>
      </c>
      <c r="I690" s="8">
        <v>107</v>
      </c>
    </row>
    <row r="691" spans="1:12" ht="13.5" customHeight="1">
      <c r="A691" s="10" t="s">
        <v>49</v>
      </c>
      <c r="B691" s="8">
        <v>4962</v>
      </c>
      <c r="C691" s="8">
        <v>0</v>
      </c>
      <c r="D691" s="8">
        <v>11</v>
      </c>
      <c r="E691" s="8">
        <v>99</v>
      </c>
      <c r="F691" s="8">
        <v>657</v>
      </c>
      <c r="G691" s="8">
        <v>1780</v>
      </c>
      <c r="H691" s="8">
        <v>1913</v>
      </c>
      <c r="I691" s="8">
        <v>502</v>
      </c>
    </row>
    <row r="692" spans="1:12" ht="13.5" customHeight="1">
      <c r="A692" s="10" t="s">
        <v>50</v>
      </c>
      <c r="B692" s="8">
        <v>2779</v>
      </c>
      <c r="C692" s="8">
        <v>0</v>
      </c>
      <c r="D692" s="8">
        <v>0</v>
      </c>
      <c r="E692" s="8">
        <v>15</v>
      </c>
      <c r="F692" s="8">
        <v>40</v>
      </c>
      <c r="G692" s="8">
        <v>234</v>
      </c>
      <c r="H692" s="8">
        <v>990</v>
      </c>
      <c r="I692" s="8">
        <v>1500</v>
      </c>
    </row>
    <row r="693" spans="1:12" ht="13.5" customHeight="1">
      <c r="A693" s="161"/>
      <c r="C693" s="161"/>
      <c r="D693" s="161"/>
      <c r="E693" s="161"/>
      <c r="F693" s="161"/>
      <c r="G693" s="161"/>
      <c r="H693" s="161"/>
      <c r="J693"/>
      <c r="K693"/>
    </row>
    <row r="694" spans="1:12" ht="13.5" customHeight="1">
      <c r="A694" s="9" t="s">
        <v>84</v>
      </c>
      <c r="B694" s="161"/>
      <c r="C694" s="161"/>
      <c r="D694" s="161"/>
      <c r="E694" s="161"/>
      <c r="F694" s="161"/>
      <c r="G694" s="8"/>
      <c r="H694" s="8"/>
      <c r="J694"/>
      <c r="K694"/>
      <c r="L694"/>
    </row>
    <row r="695" spans="1:12" ht="13.5" customHeight="1">
      <c r="L695"/>
    </row>
    <row r="696" spans="1:12" ht="13.5" customHeight="1">
      <c r="A696" s="68" t="s">
        <v>101</v>
      </c>
    </row>
  </sheetData>
  <hyperlinks>
    <hyperlink ref="K288" location="T09.01.04!A1" display="Haut de page" xr:uid="{00000000-0004-0000-0400-000000000000}"/>
    <hyperlink ref="K335" location="T09.01.04!A1" display="Haut de page" xr:uid="{00000000-0004-0000-0400-000001000000}"/>
    <hyperlink ref="K382" location="T09.01.04!A1" display="Haut de page" xr:uid="{00000000-0004-0000-0400-000002000000}"/>
    <hyperlink ref="K429" location="T09.01.04!A1" display="Haut de page" xr:uid="{00000000-0004-0000-0400-000003000000}"/>
    <hyperlink ref="K475" location="T09.01.04!A1" display="Haut de page" xr:uid="{00000000-0004-0000-0400-000004000000}"/>
    <hyperlink ref="K521" location="T09.01.04!A1" display="Haut de page" xr:uid="{00000000-0004-0000-0400-000005000000}"/>
    <hyperlink ref="K241" location="T09.01.04!A1" display="Haut de page" xr:uid="{00000000-0004-0000-0400-000006000000}"/>
    <hyperlink ref="K565" location="T09.01.04!A1" display="Haut de page" xr:uid="{00000000-0004-0000-0400-000007000000}"/>
    <hyperlink ref="K611" location="T09.01.04!A1" display="Haut de page" xr:uid="{00000000-0004-0000-0400-000008000000}"/>
    <hyperlink ref="K657" location="T09.01.04!A1" display="Haut de page" xr:uid="{00000000-0004-0000-0400-000009000000}"/>
    <hyperlink ref="K194" location="T09.01.04!A1" display="Haut de page" xr:uid="{00000000-0004-0000-0400-00000A000000}"/>
    <hyperlink ref="K147" location="T09.01.04!A1" display="Haut de page" xr:uid="{00000000-0004-0000-0400-00000B000000}"/>
    <hyperlink ref="K100" location="T09.01.04!A1" display="Haut de page" xr:uid="{00000000-0004-0000-0400-000019000000}"/>
    <hyperlink ref="L5" location="T09.01.04_2016" display="T09.01.04_2016" xr:uid="{3CDEBBC4-5CA9-430E-B71E-38340305E2CE}"/>
    <hyperlink ref="L7" location="T09.01.03_2014" display="T09.01.03_2014" xr:uid="{7FB578D3-D312-4365-94DC-BF6569484AEA}"/>
    <hyperlink ref="L8" location="T09.01.04_2013" display="T09.01.04_2013" xr:uid="{85921BCA-876A-4DD3-8680-B519B2E28195}"/>
    <hyperlink ref="K10" location="T09.01.04_2018" display="T09.01.04_2018" xr:uid="{929C71C9-DA62-42E3-A25F-4BCADA430B74}"/>
    <hyperlink ref="K11" location="T09.01.04_2017" display="T09.01.04_2017" xr:uid="{546E13FD-9EE4-4230-843A-2B13E33E24C2}"/>
    <hyperlink ref="L9" location="T09.01.04_2012" display="T09.01.04_2012" xr:uid="{A951125E-32D3-4A59-89B2-DC3859E5FCCC}"/>
    <hyperlink ref="L10" location="T09.01.04_2011" display="T09.01.04_2011" xr:uid="{6B111EA6-CD8A-4509-8BF0-9EED1A750139}"/>
    <hyperlink ref="L6" location="T09.01.04_2015" display="T09.01.04_2015" xr:uid="{2646541D-3683-4C8A-AB2F-D12EA07540DB}"/>
    <hyperlink ref="K9" location="T09.01.04_2019" display="T09.01.04_2019" xr:uid="{78E636FC-426B-4E02-9C2D-B5CF41B1252B}"/>
    <hyperlink ref="L11" location="T09.01.04_2010" display="T09.01.04_2010" xr:uid="{78E613F3-C15F-42D2-95DC-57C98195AB88}"/>
    <hyperlink ref="K8" location="T09.01.04_2020" display="T09.01.04_2020" xr:uid="{00434071-2A9E-4D2F-9D4B-7B21DC167117}"/>
    <hyperlink ref="K7" location="T09.01.04_2021" display="T09.01.04_2021" xr:uid="{8BF1E121-6600-4042-8E9B-A7C218F47A61}"/>
    <hyperlink ref="K5" location="T09.01.04_2022" display="T09.01.04_2022" xr:uid="{D7720D21-6A10-4DA0-897F-FC4C3D837043}"/>
    <hyperlink ref="K52" location="T09.01.04!A1" display="Haut de page" xr:uid="{C5934626-1A96-4748-A76E-9669B8EF48EC}"/>
    <hyperlink ref="K6" location="T09.01.04_2022a" display="T09.01.04_2022a" xr:uid="{E19C8D4B-5543-40B6-846A-80BE30BE7347}"/>
  </hyperlink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42"/>
  <sheetViews>
    <sheetView zoomScaleNormal="100" workbookViewId="0"/>
  </sheetViews>
  <sheetFormatPr baseColWidth="10" defaultColWidth="11.5" defaultRowHeight="13.5" customHeight="1"/>
  <cols>
    <col min="1" max="1" width="35.6640625" style="12" customWidth="1"/>
    <col min="2" max="8" width="10.6640625" style="12" customWidth="1"/>
    <col min="9" max="16384" width="11.5" style="12"/>
  </cols>
  <sheetData>
    <row r="1" spans="1:11" ht="13.5" customHeight="1">
      <c r="A1" s="24" t="s">
        <v>195</v>
      </c>
      <c r="B1" s="94"/>
      <c r="C1" s="94"/>
      <c r="D1" s="94"/>
      <c r="E1" s="94"/>
      <c r="F1" s="162"/>
      <c r="G1" s="94"/>
      <c r="H1" s="96"/>
    </row>
    <row r="2" spans="1:11" ht="13.5" customHeight="1">
      <c r="A2" s="13" t="s">
        <v>1</v>
      </c>
      <c r="B2" s="13"/>
      <c r="C2" s="13"/>
      <c r="D2" s="13"/>
      <c r="E2" s="13"/>
      <c r="F2" s="13"/>
      <c r="G2" s="13"/>
      <c r="H2" s="160"/>
    </row>
    <row r="3" spans="1:11" ht="13.5" customHeight="1">
      <c r="A3" s="13"/>
      <c r="B3" s="13"/>
      <c r="C3" s="13"/>
      <c r="D3" s="13"/>
      <c r="E3" s="13"/>
      <c r="F3" s="13"/>
      <c r="G3" s="13"/>
      <c r="H3" s="25"/>
    </row>
    <row r="4" spans="1:11" ht="13.5" customHeight="1">
      <c r="A4" s="31"/>
      <c r="B4" s="31"/>
      <c r="C4" s="33"/>
      <c r="D4" s="33"/>
      <c r="E4" s="33"/>
      <c r="F4" s="33"/>
      <c r="G4" s="33"/>
      <c r="H4" s="34" t="s">
        <v>83</v>
      </c>
      <c r="J4" s="167" t="s">
        <v>125</v>
      </c>
      <c r="K4" s="168"/>
    </row>
    <row r="5" spans="1:11" ht="13.5" customHeight="1">
      <c r="A5" s="30"/>
      <c r="B5" s="38" t="s">
        <v>2</v>
      </c>
      <c r="C5" s="31">
        <v>0</v>
      </c>
      <c r="D5" s="31">
        <v>1</v>
      </c>
      <c r="E5" s="31">
        <v>2</v>
      </c>
      <c r="F5" s="38" t="s">
        <v>3</v>
      </c>
      <c r="G5" s="38" t="s">
        <v>4</v>
      </c>
      <c r="H5" s="38" t="s">
        <v>64</v>
      </c>
      <c r="J5" s="169">
        <v>2023</v>
      </c>
      <c r="K5" s="169">
        <v>2016</v>
      </c>
    </row>
    <row r="6" spans="1:11" ht="13.5" customHeight="1">
      <c r="A6" s="37" t="s">
        <v>145</v>
      </c>
      <c r="B6" s="36">
        <v>9096</v>
      </c>
      <c r="C6" s="36">
        <v>158</v>
      </c>
      <c r="D6" s="36">
        <v>2500</v>
      </c>
      <c r="E6" s="36">
        <v>592</v>
      </c>
      <c r="F6" s="36">
        <v>1136</v>
      </c>
      <c r="G6" s="36">
        <v>1276</v>
      </c>
      <c r="H6" s="36">
        <v>3434</v>
      </c>
      <c r="J6" s="169">
        <v>2022</v>
      </c>
      <c r="K6" s="169">
        <v>2015</v>
      </c>
    </row>
    <row r="7" spans="1:11" ht="13.5" customHeight="1">
      <c r="A7" s="37" t="s">
        <v>5</v>
      </c>
      <c r="B7" s="36"/>
      <c r="C7" s="36"/>
      <c r="D7" s="36"/>
      <c r="E7" s="36"/>
      <c r="F7" s="36"/>
      <c r="G7" s="36"/>
      <c r="H7" s="36"/>
      <c r="J7" s="169">
        <v>2021</v>
      </c>
      <c r="K7" s="169">
        <v>2014</v>
      </c>
    </row>
    <row r="8" spans="1:11" ht="13.5" customHeight="1">
      <c r="A8" s="9" t="s">
        <v>6</v>
      </c>
      <c r="B8" s="8">
        <f>SUM(C8:H8)</f>
        <v>2192</v>
      </c>
      <c r="C8" s="8">
        <v>0</v>
      </c>
      <c r="D8" s="8">
        <v>2192</v>
      </c>
      <c r="E8" s="8">
        <v>0</v>
      </c>
      <c r="F8" s="8">
        <v>0</v>
      </c>
      <c r="G8" s="8">
        <v>0</v>
      </c>
      <c r="H8" s="8">
        <v>0</v>
      </c>
      <c r="J8" s="169">
        <v>2020</v>
      </c>
      <c r="K8" s="169">
        <v>2013</v>
      </c>
    </row>
    <row r="9" spans="1:11" ht="13.5" customHeight="1">
      <c r="A9" s="9" t="s">
        <v>7</v>
      </c>
      <c r="B9" s="8">
        <f t="shared" ref="B9:B26" si="0">SUM(C9:H9)</f>
        <v>4261</v>
      </c>
      <c r="C9" s="8">
        <v>0</v>
      </c>
      <c r="D9" s="8">
        <v>0</v>
      </c>
      <c r="E9" s="8">
        <v>471</v>
      </c>
      <c r="F9" s="8">
        <v>794</v>
      </c>
      <c r="G9" s="8">
        <v>815</v>
      </c>
      <c r="H9" s="8">
        <v>2181</v>
      </c>
      <c r="J9" s="169">
        <v>2019</v>
      </c>
      <c r="K9" s="169">
        <v>2012</v>
      </c>
    </row>
    <row r="10" spans="1:11" ht="13.5" customHeight="1">
      <c r="A10" s="9" t="s">
        <v>8</v>
      </c>
      <c r="B10" s="8">
        <f t="shared" si="0"/>
        <v>2243</v>
      </c>
      <c r="C10" s="8">
        <v>0</v>
      </c>
      <c r="D10" s="8">
        <v>147</v>
      </c>
      <c r="E10" s="8">
        <v>89</v>
      </c>
      <c r="F10" s="8">
        <v>316</v>
      </c>
      <c r="G10" s="8">
        <v>453</v>
      </c>
      <c r="H10" s="8">
        <v>1238</v>
      </c>
      <c r="J10" s="169">
        <v>2018</v>
      </c>
      <c r="K10" s="169">
        <v>2011</v>
      </c>
    </row>
    <row r="11" spans="1:11" ht="13.5" customHeight="1">
      <c r="A11" s="10" t="s">
        <v>65</v>
      </c>
      <c r="B11" s="8">
        <f t="shared" si="0"/>
        <v>400</v>
      </c>
      <c r="C11" s="8">
        <v>158</v>
      </c>
      <c r="D11" s="8">
        <v>161</v>
      </c>
      <c r="E11" s="8">
        <v>32</v>
      </c>
      <c r="F11" s="8">
        <v>26</v>
      </c>
      <c r="G11" s="8">
        <v>8</v>
      </c>
      <c r="H11" s="8">
        <v>15</v>
      </c>
      <c r="J11" s="169">
        <v>2017</v>
      </c>
      <c r="K11" s="169">
        <v>2010</v>
      </c>
    </row>
    <row r="12" spans="1:11" ht="13.5" customHeight="1">
      <c r="A12" s="37" t="s">
        <v>9</v>
      </c>
      <c r="B12" s="36"/>
      <c r="C12" s="36"/>
      <c r="D12" s="36"/>
      <c r="E12" s="36"/>
      <c r="F12" s="36"/>
      <c r="G12" s="36"/>
      <c r="H12" s="36"/>
    </row>
    <row r="13" spans="1:11" ht="13.5" customHeight="1">
      <c r="A13" s="9" t="s">
        <v>10</v>
      </c>
      <c r="B13" s="8">
        <f t="shared" si="0"/>
        <v>2140</v>
      </c>
      <c r="C13" s="8">
        <v>72</v>
      </c>
      <c r="D13" s="8">
        <v>452</v>
      </c>
      <c r="E13" s="8">
        <v>186</v>
      </c>
      <c r="F13" s="8">
        <v>548</v>
      </c>
      <c r="G13" s="8">
        <v>370</v>
      </c>
      <c r="H13" s="8">
        <v>512</v>
      </c>
    </row>
    <row r="14" spans="1:11" ht="13.5" customHeight="1">
      <c r="A14" s="9" t="s">
        <v>11</v>
      </c>
      <c r="B14" s="8">
        <f t="shared" si="0"/>
        <v>1967</v>
      </c>
      <c r="C14" s="8">
        <v>18</v>
      </c>
      <c r="D14" s="8">
        <v>551</v>
      </c>
      <c r="E14" s="8">
        <v>126</v>
      </c>
      <c r="F14" s="8">
        <v>255</v>
      </c>
      <c r="G14" s="8">
        <v>360</v>
      </c>
      <c r="H14" s="8">
        <v>657</v>
      </c>
      <c r="J14" s="232"/>
    </row>
    <row r="15" spans="1:11" ht="13.5" customHeight="1">
      <c r="A15" s="9" t="s">
        <v>12</v>
      </c>
      <c r="B15" s="8">
        <f t="shared" si="0"/>
        <v>1560</v>
      </c>
      <c r="C15" s="8">
        <v>9</v>
      </c>
      <c r="D15" s="8">
        <v>375</v>
      </c>
      <c r="E15" s="8">
        <v>86</v>
      </c>
      <c r="F15" s="8">
        <v>87</v>
      </c>
      <c r="G15" s="8">
        <v>163</v>
      </c>
      <c r="H15" s="8">
        <v>840</v>
      </c>
    </row>
    <row r="16" spans="1:11" ht="13.5" customHeight="1">
      <c r="A16" s="9" t="s">
        <v>13</v>
      </c>
      <c r="B16" s="8">
        <f t="shared" si="0"/>
        <v>815</v>
      </c>
      <c r="C16" s="8">
        <v>10</v>
      </c>
      <c r="D16" s="8">
        <v>145</v>
      </c>
      <c r="E16" s="8">
        <v>28</v>
      </c>
      <c r="F16" s="8">
        <v>53</v>
      </c>
      <c r="G16" s="8">
        <v>52</v>
      </c>
      <c r="H16" s="8">
        <v>527</v>
      </c>
    </row>
    <row r="17" spans="1:11" ht="13.5" customHeight="1">
      <c r="A17" s="9" t="s">
        <v>14</v>
      </c>
      <c r="B17" s="8">
        <f t="shared" si="0"/>
        <v>471</v>
      </c>
      <c r="C17" s="8">
        <v>6</v>
      </c>
      <c r="D17" s="8">
        <v>127</v>
      </c>
      <c r="E17" s="8">
        <v>23</v>
      </c>
      <c r="F17" s="8">
        <v>18</v>
      </c>
      <c r="G17" s="8">
        <v>60</v>
      </c>
      <c r="H17" s="8">
        <v>237</v>
      </c>
    </row>
    <row r="18" spans="1:11" ht="13.5" customHeight="1">
      <c r="A18" s="9" t="s">
        <v>15</v>
      </c>
      <c r="B18" s="8">
        <f t="shared" si="0"/>
        <v>254</v>
      </c>
      <c r="C18" s="8">
        <v>5</v>
      </c>
      <c r="D18" s="8">
        <v>110</v>
      </c>
      <c r="E18" s="8">
        <v>20</v>
      </c>
      <c r="F18" s="8">
        <v>5</v>
      </c>
      <c r="G18" s="8">
        <v>29</v>
      </c>
      <c r="H18" s="8">
        <v>85</v>
      </c>
    </row>
    <row r="19" spans="1:11" ht="13.5" customHeight="1">
      <c r="A19" s="9" t="s">
        <v>16</v>
      </c>
      <c r="B19" s="8">
        <f t="shared" si="0"/>
        <v>287</v>
      </c>
      <c r="C19" s="8">
        <v>7</v>
      </c>
      <c r="D19" s="8">
        <v>130</v>
      </c>
      <c r="E19" s="8">
        <v>5</v>
      </c>
      <c r="F19" s="8">
        <v>8</v>
      </c>
      <c r="G19" s="8">
        <v>62</v>
      </c>
      <c r="H19" s="8">
        <v>75</v>
      </c>
    </row>
    <row r="20" spans="1:11" ht="13.5" customHeight="1">
      <c r="A20" s="9" t="s">
        <v>17</v>
      </c>
      <c r="B20" s="8">
        <f t="shared" si="0"/>
        <v>175</v>
      </c>
      <c r="C20" s="8">
        <v>5</v>
      </c>
      <c r="D20" s="8">
        <v>89</v>
      </c>
      <c r="E20" s="8">
        <v>8</v>
      </c>
      <c r="F20" s="8">
        <v>7</v>
      </c>
      <c r="G20" s="8">
        <v>28</v>
      </c>
      <c r="H20" s="8">
        <v>38</v>
      </c>
    </row>
    <row r="21" spans="1:11" ht="13.5" customHeight="1">
      <c r="A21" s="9" t="s">
        <v>18</v>
      </c>
      <c r="B21" s="8">
        <f t="shared" si="0"/>
        <v>194</v>
      </c>
      <c r="C21" s="8"/>
      <c r="D21" s="8">
        <v>115</v>
      </c>
      <c r="E21" s="8">
        <v>8</v>
      </c>
      <c r="F21" s="8">
        <v>15</v>
      </c>
      <c r="G21" s="8">
        <v>10</v>
      </c>
      <c r="H21" s="8">
        <v>46</v>
      </c>
    </row>
    <row r="22" spans="1:11" ht="13.5" customHeight="1">
      <c r="A22" s="9" t="s">
        <v>19</v>
      </c>
      <c r="B22" s="8">
        <f t="shared" si="0"/>
        <v>186</v>
      </c>
      <c r="C22" s="8">
        <v>2</v>
      </c>
      <c r="D22" s="8">
        <v>92</v>
      </c>
      <c r="E22" s="8">
        <v>9</v>
      </c>
      <c r="F22" s="8">
        <v>16</v>
      </c>
      <c r="G22" s="8">
        <v>15</v>
      </c>
      <c r="H22" s="8">
        <v>52</v>
      </c>
    </row>
    <row r="23" spans="1:11" ht="13.5" customHeight="1">
      <c r="A23" s="9" t="s">
        <v>20</v>
      </c>
      <c r="B23" s="8">
        <f t="shared" si="0"/>
        <v>377</v>
      </c>
      <c r="C23" s="8">
        <v>6</v>
      </c>
      <c r="D23" s="8">
        <v>184</v>
      </c>
      <c r="E23" s="8">
        <v>23</v>
      </c>
      <c r="F23" s="8">
        <v>32</v>
      </c>
      <c r="G23" s="8">
        <v>40</v>
      </c>
      <c r="H23" s="8">
        <v>92</v>
      </c>
    </row>
    <row r="24" spans="1:11" ht="13.5" customHeight="1">
      <c r="A24" s="9" t="s">
        <v>21</v>
      </c>
      <c r="B24" s="8">
        <f t="shared" si="0"/>
        <v>266</v>
      </c>
      <c r="C24" s="8">
        <v>8</v>
      </c>
      <c r="D24" s="8">
        <v>66</v>
      </c>
      <c r="E24" s="8">
        <v>34</v>
      </c>
      <c r="F24" s="8">
        <v>38</v>
      </c>
      <c r="G24" s="8">
        <v>32</v>
      </c>
      <c r="H24" s="8">
        <v>88</v>
      </c>
    </row>
    <row r="25" spans="1:11" ht="13.5" customHeight="1">
      <c r="A25" s="9" t="s">
        <v>131</v>
      </c>
      <c r="B25" s="8">
        <f t="shared" si="0"/>
        <v>250</v>
      </c>
      <c r="C25" s="8">
        <v>5</v>
      </c>
      <c r="D25" s="8">
        <v>30</v>
      </c>
      <c r="E25" s="8">
        <v>21</v>
      </c>
      <c r="F25" s="8">
        <v>32</v>
      </c>
      <c r="G25" s="8">
        <v>45</v>
      </c>
      <c r="H25" s="8">
        <v>117</v>
      </c>
    </row>
    <row r="26" spans="1:11" ht="13.5" customHeight="1">
      <c r="A26" s="9" t="s">
        <v>190</v>
      </c>
      <c r="B26" s="8">
        <f t="shared" si="0"/>
        <v>154</v>
      </c>
      <c r="C26" s="8">
        <v>5</v>
      </c>
      <c r="D26" s="8">
        <v>34</v>
      </c>
      <c r="E26" s="8">
        <v>15</v>
      </c>
      <c r="F26" s="8">
        <v>22</v>
      </c>
      <c r="G26" s="8">
        <v>10</v>
      </c>
      <c r="H26" s="8">
        <v>68</v>
      </c>
    </row>
    <row r="27" spans="1:11" ht="13.5" customHeight="1">
      <c r="A27" s="37" t="s">
        <v>22</v>
      </c>
      <c r="B27" s="36"/>
      <c r="C27" s="36"/>
      <c r="D27" s="36"/>
      <c r="E27" s="36"/>
      <c r="F27" s="36"/>
      <c r="G27" s="36"/>
      <c r="H27" s="36"/>
    </row>
    <row r="28" spans="1:11" ht="13.5" customHeight="1">
      <c r="A28" s="9" t="s">
        <v>23</v>
      </c>
      <c r="B28" s="8">
        <f t="shared" ref="B28:B34" si="1">SUM(C28:H28)</f>
        <v>109</v>
      </c>
      <c r="C28" s="8">
        <v>11</v>
      </c>
      <c r="D28" s="8">
        <v>91</v>
      </c>
      <c r="E28" s="8">
        <v>4</v>
      </c>
      <c r="F28" s="8">
        <v>2</v>
      </c>
      <c r="G28" s="8"/>
      <c r="H28" s="8">
        <v>1</v>
      </c>
    </row>
    <row r="29" spans="1:11" ht="13.5" customHeight="1">
      <c r="A29" s="9" t="s">
        <v>24</v>
      </c>
      <c r="B29" s="8">
        <f t="shared" si="1"/>
        <v>1461</v>
      </c>
      <c r="C29" s="8">
        <v>52</v>
      </c>
      <c r="D29" s="8">
        <v>1142</v>
      </c>
      <c r="E29" s="8">
        <v>180</v>
      </c>
      <c r="F29" s="8">
        <v>72</v>
      </c>
      <c r="G29" s="8">
        <v>9</v>
      </c>
      <c r="H29" s="8">
        <v>6</v>
      </c>
      <c r="J29"/>
      <c r="K29"/>
    </row>
    <row r="30" spans="1:11" ht="13.5" customHeight="1">
      <c r="A30" s="9" t="s">
        <v>25</v>
      </c>
      <c r="B30" s="8">
        <f t="shared" si="1"/>
        <v>2061</v>
      </c>
      <c r="C30" s="8">
        <v>18</v>
      </c>
      <c r="D30" s="8">
        <v>1069</v>
      </c>
      <c r="E30" s="8">
        <v>300</v>
      </c>
      <c r="F30" s="8">
        <v>438</v>
      </c>
      <c r="G30" s="8">
        <v>183</v>
      </c>
      <c r="H30" s="8">
        <v>53</v>
      </c>
      <c r="J30"/>
      <c r="K30"/>
    </row>
    <row r="31" spans="1:11" ht="13.5" customHeight="1">
      <c r="A31" s="9" t="s">
        <v>26</v>
      </c>
      <c r="B31" s="8">
        <f t="shared" si="1"/>
        <v>1467</v>
      </c>
      <c r="C31" s="8">
        <v>27</v>
      </c>
      <c r="D31" s="8">
        <v>110</v>
      </c>
      <c r="E31" s="8">
        <v>60</v>
      </c>
      <c r="F31" s="8">
        <v>352</v>
      </c>
      <c r="G31" s="8">
        <v>497</v>
      </c>
      <c r="H31" s="8">
        <v>421</v>
      </c>
      <c r="J31"/>
      <c r="K31"/>
    </row>
    <row r="32" spans="1:11" ht="13.5" customHeight="1">
      <c r="A32" s="9" t="s">
        <v>27</v>
      </c>
      <c r="B32" s="8">
        <f t="shared" si="1"/>
        <v>1656</v>
      </c>
      <c r="C32" s="8">
        <v>21</v>
      </c>
      <c r="D32" s="8">
        <v>36</v>
      </c>
      <c r="E32" s="8">
        <v>24</v>
      </c>
      <c r="F32" s="8">
        <v>169</v>
      </c>
      <c r="G32" s="8">
        <v>385</v>
      </c>
      <c r="H32" s="8">
        <v>1021</v>
      </c>
      <c r="J32"/>
      <c r="K32"/>
    </row>
    <row r="33" spans="1:11" ht="13.5" customHeight="1">
      <c r="A33" s="9" t="s">
        <v>28</v>
      </c>
      <c r="B33" s="8">
        <f t="shared" si="1"/>
        <v>1127</v>
      </c>
      <c r="C33" s="8">
        <v>15</v>
      </c>
      <c r="D33" s="8">
        <v>20</v>
      </c>
      <c r="E33" s="8">
        <v>15</v>
      </c>
      <c r="F33" s="8">
        <v>62</v>
      </c>
      <c r="G33" s="8">
        <v>131</v>
      </c>
      <c r="H33" s="8">
        <v>884</v>
      </c>
      <c r="J33"/>
      <c r="K33"/>
    </row>
    <row r="34" spans="1:11" ht="13.5" customHeight="1">
      <c r="A34" s="9" t="s">
        <v>29</v>
      </c>
      <c r="B34" s="8">
        <f t="shared" si="1"/>
        <v>702</v>
      </c>
      <c r="C34" s="8">
        <v>7</v>
      </c>
      <c r="D34" s="8">
        <v>19</v>
      </c>
      <c r="E34" s="8">
        <v>6</v>
      </c>
      <c r="F34" s="8">
        <v>31</v>
      </c>
      <c r="G34" s="8">
        <v>44</v>
      </c>
      <c r="H34" s="8">
        <v>595</v>
      </c>
      <c r="J34"/>
      <c r="K34"/>
    </row>
    <row r="35" spans="1:11" ht="13.5" customHeight="1">
      <c r="A35" s="9" t="s">
        <v>30</v>
      </c>
      <c r="B35" s="8">
        <f>+B6-B34-B33-B32-B31-B30-B29-B28</f>
        <v>513</v>
      </c>
      <c r="C35" s="8">
        <f t="shared" ref="C35:H35" si="2">+C6-C34-C33-C32-C31-C30-C29-C28</f>
        <v>7</v>
      </c>
      <c r="D35" s="8">
        <f t="shared" si="2"/>
        <v>13</v>
      </c>
      <c r="E35" s="8">
        <f t="shared" si="2"/>
        <v>3</v>
      </c>
      <c r="F35" s="8">
        <f t="shared" si="2"/>
        <v>10</v>
      </c>
      <c r="G35" s="8">
        <f t="shared" si="2"/>
        <v>27</v>
      </c>
      <c r="H35" s="8">
        <f t="shared" si="2"/>
        <v>453</v>
      </c>
      <c r="J35"/>
      <c r="K35"/>
    </row>
    <row r="36" spans="1:11" ht="13.5" customHeight="1">
      <c r="A36" s="161"/>
      <c r="C36" s="161"/>
      <c r="D36" s="161"/>
      <c r="E36" s="161"/>
      <c r="F36" s="161"/>
      <c r="G36" s="161"/>
      <c r="H36" s="161"/>
      <c r="J36"/>
      <c r="K36"/>
    </row>
    <row r="37" spans="1:11" ht="13.5" customHeight="1">
      <c r="A37" s="9" t="s">
        <v>84</v>
      </c>
      <c r="B37" s="161"/>
      <c r="C37" s="161"/>
      <c r="D37" s="161"/>
      <c r="E37" s="161"/>
      <c r="F37" s="161"/>
      <c r="G37" s="8"/>
      <c r="H37" s="8"/>
      <c r="J37"/>
      <c r="K37"/>
    </row>
    <row r="38" spans="1:11" ht="13.5" customHeight="1">
      <c r="A38" s="9"/>
      <c r="B38" s="161"/>
      <c r="C38" s="161"/>
      <c r="D38" s="161"/>
      <c r="E38" s="161"/>
      <c r="F38" s="161"/>
      <c r="G38" s="8"/>
      <c r="H38" s="8"/>
      <c r="J38"/>
      <c r="K38"/>
    </row>
    <row r="39" spans="1:11" ht="13.5" customHeight="1">
      <c r="A39" s="26" t="s">
        <v>113</v>
      </c>
      <c r="B39" s="8"/>
      <c r="C39" s="8"/>
      <c r="D39" s="8"/>
      <c r="E39" s="8"/>
      <c r="F39" s="8"/>
      <c r="G39" s="8"/>
      <c r="H39" s="8"/>
      <c r="J39"/>
      <c r="K39"/>
    </row>
    <row r="40" spans="1:11" ht="13.5" customHeight="1">
      <c r="A40" s="26"/>
      <c r="B40" s="8"/>
      <c r="C40" s="8"/>
      <c r="D40" s="8"/>
      <c r="E40" s="8"/>
      <c r="F40" s="8"/>
      <c r="G40" s="8"/>
      <c r="H40" s="8"/>
    </row>
    <row r="41" spans="1:11" ht="13.5" customHeight="1">
      <c r="A41" s="26"/>
      <c r="B41" s="8"/>
      <c r="C41" s="8"/>
      <c r="D41" s="8"/>
      <c r="E41" s="8"/>
      <c r="F41" s="8"/>
      <c r="G41" s="8"/>
      <c r="H41" s="8"/>
    </row>
    <row r="42" spans="1:11" ht="13.5" customHeight="1">
      <c r="A42" s="24" t="s">
        <v>196</v>
      </c>
      <c r="B42" s="94"/>
      <c r="C42" s="94"/>
      <c r="D42" s="94"/>
      <c r="E42" s="94"/>
      <c r="F42" s="162"/>
      <c r="G42" s="94"/>
      <c r="H42" s="96"/>
    </row>
    <row r="43" spans="1:11" ht="13.5" customHeight="1">
      <c r="A43" s="13" t="s">
        <v>1</v>
      </c>
      <c r="B43" s="13"/>
      <c r="C43" s="13"/>
      <c r="D43" s="13"/>
      <c r="E43" s="13"/>
      <c r="F43" s="13"/>
      <c r="G43" s="13"/>
      <c r="H43" s="160"/>
    </row>
    <row r="44" spans="1:11" ht="13.5" customHeight="1">
      <c r="A44" s="13"/>
      <c r="B44" s="13"/>
      <c r="C44" s="13"/>
      <c r="D44" s="13"/>
      <c r="E44" s="13"/>
      <c r="F44" s="13"/>
      <c r="G44" s="13"/>
      <c r="H44" s="25"/>
    </row>
    <row r="45" spans="1:11" ht="13.5" customHeight="1">
      <c r="A45" s="31"/>
      <c r="B45" s="31"/>
      <c r="C45" s="33"/>
      <c r="D45" s="33"/>
      <c r="E45" s="33"/>
      <c r="F45" s="33"/>
      <c r="G45" s="33"/>
      <c r="H45" s="34" t="s">
        <v>83</v>
      </c>
      <c r="J45" s="170" t="s">
        <v>126</v>
      </c>
    </row>
    <row r="46" spans="1:11" ht="13.5" customHeight="1">
      <c r="A46" s="30"/>
      <c r="B46" s="38" t="s">
        <v>2</v>
      </c>
      <c r="C46" s="31">
        <v>0</v>
      </c>
      <c r="D46" s="31">
        <v>1</v>
      </c>
      <c r="E46" s="31">
        <v>2</v>
      </c>
      <c r="F46" s="38" t="s">
        <v>3</v>
      </c>
      <c r="G46" s="38" t="s">
        <v>4</v>
      </c>
      <c r="H46" s="38" t="s">
        <v>64</v>
      </c>
    </row>
    <row r="47" spans="1:11" ht="13.5" customHeight="1">
      <c r="A47" s="37" t="s">
        <v>145</v>
      </c>
      <c r="B47" s="36">
        <v>9079</v>
      </c>
      <c r="C47" s="36">
        <v>157</v>
      </c>
      <c r="D47" s="36">
        <v>2505</v>
      </c>
      <c r="E47" s="36">
        <v>591</v>
      </c>
      <c r="F47" s="36">
        <v>1132</v>
      </c>
      <c r="G47" s="36">
        <v>1278</v>
      </c>
      <c r="H47" s="36">
        <v>3416</v>
      </c>
    </row>
    <row r="48" spans="1:11" ht="13.5" customHeight="1">
      <c r="A48" s="37" t="s">
        <v>5</v>
      </c>
      <c r="B48" s="36"/>
      <c r="C48" s="36"/>
      <c r="D48" s="36"/>
      <c r="E48" s="36"/>
      <c r="F48" s="36"/>
      <c r="G48" s="36"/>
      <c r="H48" s="36"/>
    </row>
    <row r="49" spans="1:10" ht="13.5" customHeight="1">
      <c r="A49" s="9" t="s">
        <v>6</v>
      </c>
      <c r="B49" s="8">
        <v>2191</v>
      </c>
      <c r="C49" s="8">
        <v>0</v>
      </c>
      <c r="D49" s="8">
        <v>2191</v>
      </c>
      <c r="E49" s="8">
        <v>0</v>
      </c>
      <c r="F49" s="8">
        <v>0</v>
      </c>
      <c r="G49" s="8">
        <v>0</v>
      </c>
      <c r="H49" s="8">
        <v>0</v>
      </c>
    </row>
    <row r="50" spans="1:10" ht="13.5" customHeight="1">
      <c r="A50" s="9" t="s">
        <v>7</v>
      </c>
      <c r="B50" s="8">
        <v>4240</v>
      </c>
      <c r="C50" s="8">
        <v>0</v>
      </c>
      <c r="D50" s="8"/>
      <c r="E50" s="8">
        <v>469</v>
      </c>
      <c r="F50" s="8">
        <v>787</v>
      </c>
      <c r="G50" s="8">
        <v>813</v>
      </c>
      <c r="H50" s="8">
        <v>2171</v>
      </c>
    </row>
    <row r="51" spans="1:10" ht="13.5" customHeight="1">
      <c r="A51" s="9" t="s">
        <v>8</v>
      </c>
      <c r="B51" s="8">
        <v>2246</v>
      </c>
      <c r="C51" s="8">
        <v>0</v>
      </c>
      <c r="D51" s="8">
        <v>150</v>
      </c>
      <c r="E51" s="8">
        <v>90</v>
      </c>
      <c r="F51" s="8">
        <v>319</v>
      </c>
      <c r="G51" s="8">
        <v>457</v>
      </c>
      <c r="H51" s="8">
        <v>1230</v>
      </c>
    </row>
    <row r="52" spans="1:10" ht="13.5" customHeight="1">
      <c r="A52" s="10" t="s">
        <v>65</v>
      </c>
      <c r="B52" s="8">
        <v>402</v>
      </c>
      <c r="C52" s="8">
        <v>157</v>
      </c>
      <c r="D52" s="8">
        <v>164</v>
      </c>
      <c r="E52" s="8">
        <v>32</v>
      </c>
      <c r="F52" s="8">
        <v>26</v>
      </c>
      <c r="G52" s="8">
        <v>8</v>
      </c>
      <c r="H52" s="8">
        <v>15</v>
      </c>
    </row>
    <row r="53" spans="1:10" ht="13.5" customHeight="1">
      <c r="A53" s="37" t="s">
        <v>9</v>
      </c>
      <c r="B53" s="36"/>
      <c r="C53" s="36"/>
      <c r="D53" s="36"/>
      <c r="E53" s="36"/>
      <c r="F53" s="36"/>
      <c r="G53" s="36"/>
      <c r="H53" s="36"/>
    </row>
    <row r="54" spans="1:10" ht="13.5" customHeight="1">
      <c r="A54" s="9" t="s">
        <v>10</v>
      </c>
      <c r="B54" s="8">
        <v>2133</v>
      </c>
      <c r="C54" s="8">
        <v>68</v>
      </c>
      <c r="D54" s="8">
        <v>453</v>
      </c>
      <c r="E54" s="8">
        <v>186</v>
      </c>
      <c r="F54" s="8">
        <v>550</v>
      </c>
      <c r="G54" s="8">
        <v>368</v>
      </c>
      <c r="H54" s="8">
        <v>508</v>
      </c>
    </row>
    <row r="55" spans="1:10" ht="13.5" customHeight="1">
      <c r="A55" s="9" t="s">
        <v>11</v>
      </c>
      <c r="B55" s="8">
        <v>1978</v>
      </c>
      <c r="C55" s="8">
        <v>19</v>
      </c>
      <c r="D55" s="8">
        <v>557</v>
      </c>
      <c r="E55" s="8">
        <v>128</v>
      </c>
      <c r="F55" s="8">
        <v>253</v>
      </c>
      <c r="G55" s="8">
        <v>361</v>
      </c>
      <c r="H55" s="8">
        <v>660</v>
      </c>
      <c r="J55" s="232"/>
    </row>
    <row r="56" spans="1:10" ht="13.5" customHeight="1">
      <c r="A56" s="9" t="s">
        <v>12</v>
      </c>
      <c r="B56" s="8">
        <v>1565</v>
      </c>
      <c r="C56" s="8">
        <v>8</v>
      </c>
      <c r="D56" s="8">
        <v>377</v>
      </c>
      <c r="E56" s="8">
        <v>87</v>
      </c>
      <c r="F56" s="8">
        <v>86</v>
      </c>
      <c r="G56" s="8">
        <v>165</v>
      </c>
      <c r="H56" s="8">
        <v>842</v>
      </c>
    </row>
    <row r="57" spans="1:10" ht="13.5" customHeight="1">
      <c r="A57" s="9" t="s">
        <v>13</v>
      </c>
      <c r="B57" s="8">
        <v>819</v>
      </c>
      <c r="C57" s="8">
        <v>12</v>
      </c>
      <c r="D57" s="8">
        <v>146</v>
      </c>
      <c r="E57" s="8">
        <v>27</v>
      </c>
      <c r="F57" s="8">
        <v>53</v>
      </c>
      <c r="G57" s="8">
        <v>52</v>
      </c>
      <c r="H57" s="8">
        <v>529</v>
      </c>
    </row>
    <row r="58" spans="1:10" ht="13.5" customHeight="1">
      <c r="A58" s="9" t="s">
        <v>14</v>
      </c>
      <c r="B58" s="8">
        <v>473</v>
      </c>
      <c r="C58" s="8">
        <v>7</v>
      </c>
      <c r="D58" s="8">
        <v>130</v>
      </c>
      <c r="E58" s="8">
        <v>21</v>
      </c>
      <c r="F58" s="8">
        <v>18</v>
      </c>
      <c r="G58" s="8">
        <v>60</v>
      </c>
      <c r="H58" s="8">
        <v>237</v>
      </c>
    </row>
    <row r="59" spans="1:10" ht="13.5" customHeight="1">
      <c r="A59" s="9" t="s">
        <v>15</v>
      </c>
      <c r="B59" s="8">
        <v>254</v>
      </c>
      <c r="C59" s="8">
        <v>4</v>
      </c>
      <c r="D59" s="8">
        <v>110</v>
      </c>
      <c r="E59" s="8">
        <v>21</v>
      </c>
      <c r="F59" s="8">
        <v>5</v>
      </c>
      <c r="G59" s="8">
        <v>30</v>
      </c>
      <c r="H59" s="8">
        <v>84</v>
      </c>
    </row>
    <row r="60" spans="1:10" ht="13.5" customHeight="1">
      <c r="A60" s="9" t="s">
        <v>16</v>
      </c>
      <c r="B60" s="8">
        <v>287</v>
      </c>
      <c r="C60" s="8">
        <v>7</v>
      </c>
      <c r="D60" s="8">
        <v>130</v>
      </c>
      <c r="E60" s="8">
        <v>5</v>
      </c>
      <c r="F60" s="8">
        <v>8</v>
      </c>
      <c r="G60" s="8">
        <v>63</v>
      </c>
      <c r="H60" s="8">
        <v>74</v>
      </c>
    </row>
    <row r="61" spans="1:10" ht="13.5" customHeight="1">
      <c r="A61" s="9" t="s">
        <v>17</v>
      </c>
      <c r="B61" s="8">
        <v>175</v>
      </c>
      <c r="C61" s="8">
        <v>5</v>
      </c>
      <c r="D61" s="8">
        <v>89</v>
      </c>
      <c r="E61" s="8">
        <v>8</v>
      </c>
      <c r="F61" s="8">
        <v>7</v>
      </c>
      <c r="G61" s="8">
        <v>28</v>
      </c>
      <c r="H61" s="8">
        <v>38</v>
      </c>
    </row>
    <row r="62" spans="1:10" ht="13.5" customHeight="1">
      <c r="A62" s="9" t="s">
        <v>18</v>
      </c>
      <c r="B62" s="8">
        <v>194</v>
      </c>
      <c r="C62" s="8"/>
      <c r="D62" s="8">
        <v>115</v>
      </c>
      <c r="E62" s="8">
        <v>8</v>
      </c>
      <c r="F62" s="8">
        <v>15</v>
      </c>
      <c r="G62" s="8">
        <v>10</v>
      </c>
      <c r="H62" s="8">
        <v>46</v>
      </c>
    </row>
    <row r="63" spans="1:10" ht="13.5" customHeight="1">
      <c r="A63" s="9" t="s">
        <v>19</v>
      </c>
      <c r="B63" s="8">
        <v>187</v>
      </c>
      <c r="C63" s="8">
        <v>2</v>
      </c>
      <c r="D63" s="8">
        <v>93</v>
      </c>
      <c r="E63" s="8">
        <v>9</v>
      </c>
      <c r="F63" s="8">
        <v>16</v>
      </c>
      <c r="G63" s="8">
        <v>15</v>
      </c>
      <c r="H63" s="8">
        <v>52</v>
      </c>
    </row>
    <row r="64" spans="1:10" ht="13.5" customHeight="1">
      <c r="A64" s="9" t="s">
        <v>20</v>
      </c>
      <c r="B64" s="8">
        <v>378</v>
      </c>
      <c r="C64" s="8">
        <v>7</v>
      </c>
      <c r="D64" s="8">
        <v>184</v>
      </c>
      <c r="E64" s="8">
        <v>23</v>
      </c>
      <c r="F64" s="8">
        <v>32</v>
      </c>
      <c r="G64" s="8">
        <v>41</v>
      </c>
      <c r="H64" s="8">
        <v>91</v>
      </c>
    </row>
    <row r="65" spans="1:11" ht="13.5" customHeight="1">
      <c r="A65" s="9" t="s">
        <v>21</v>
      </c>
      <c r="B65" s="8">
        <v>266</v>
      </c>
      <c r="C65" s="8">
        <v>8</v>
      </c>
      <c r="D65" s="8">
        <v>66</v>
      </c>
      <c r="E65" s="8">
        <v>34</v>
      </c>
      <c r="F65" s="8">
        <v>38</v>
      </c>
      <c r="G65" s="8">
        <v>32</v>
      </c>
      <c r="H65" s="8">
        <v>88</v>
      </c>
    </row>
    <row r="66" spans="1:11" ht="13.5" customHeight="1">
      <c r="A66" s="9" t="s">
        <v>131</v>
      </c>
      <c r="B66" s="8">
        <v>251</v>
      </c>
      <c r="C66" s="8">
        <v>6</v>
      </c>
      <c r="D66" s="8">
        <v>30</v>
      </c>
      <c r="E66" s="8">
        <v>21</v>
      </c>
      <c r="F66" s="8">
        <v>32</v>
      </c>
      <c r="G66" s="8">
        <v>45</v>
      </c>
      <c r="H66" s="8">
        <v>117</v>
      </c>
    </row>
    <row r="67" spans="1:11" ht="13.5" customHeight="1">
      <c r="A67" s="9" t="s">
        <v>190</v>
      </c>
      <c r="B67" s="8">
        <v>119</v>
      </c>
      <c r="C67" s="8">
        <v>4</v>
      </c>
      <c r="D67" s="8">
        <v>25</v>
      </c>
      <c r="E67" s="8">
        <v>13</v>
      </c>
      <c r="F67" s="8">
        <v>19</v>
      </c>
      <c r="G67" s="8">
        <v>8</v>
      </c>
      <c r="H67" s="8">
        <v>50</v>
      </c>
    </row>
    <row r="68" spans="1:11" ht="13.5" customHeight="1">
      <c r="A68" s="37" t="s">
        <v>22</v>
      </c>
      <c r="B68" s="36"/>
      <c r="C68" s="36"/>
      <c r="D68" s="36"/>
      <c r="E68" s="36"/>
      <c r="F68" s="36"/>
      <c r="G68" s="36"/>
      <c r="H68" s="36"/>
    </row>
    <row r="69" spans="1:11" ht="13.5" customHeight="1">
      <c r="A69" s="9" t="s">
        <v>23</v>
      </c>
      <c r="B69" s="8">
        <v>108</v>
      </c>
      <c r="C69" s="8">
        <v>10</v>
      </c>
      <c r="D69" s="8">
        <v>91</v>
      </c>
      <c r="E69" s="8">
        <v>4</v>
      </c>
      <c r="F69" s="8">
        <v>2</v>
      </c>
      <c r="G69" s="8">
        <v>0</v>
      </c>
      <c r="H69" s="8">
        <v>1</v>
      </c>
    </row>
    <row r="70" spans="1:11" ht="13.5" customHeight="1">
      <c r="A70" s="9" t="s">
        <v>24</v>
      </c>
      <c r="B70" s="8">
        <v>1456</v>
      </c>
      <c r="C70" s="8">
        <v>52</v>
      </c>
      <c r="D70" s="8">
        <v>1141</v>
      </c>
      <c r="E70" s="8">
        <v>178</v>
      </c>
      <c r="F70" s="8">
        <v>70</v>
      </c>
      <c r="G70" s="8">
        <v>9</v>
      </c>
      <c r="H70" s="8">
        <v>6</v>
      </c>
      <c r="J70"/>
      <c r="K70"/>
    </row>
    <row r="71" spans="1:11" ht="13.5" customHeight="1">
      <c r="A71" s="9" t="s">
        <v>25</v>
      </c>
      <c r="B71" s="8">
        <v>2061</v>
      </c>
      <c r="C71" s="8">
        <v>19</v>
      </c>
      <c r="D71" s="8">
        <v>1072</v>
      </c>
      <c r="E71" s="8">
        <v>301</v>
      </c>
      <c r="F71" s="8">
        <v>435</v>
      </c>
      <c r="G71" s="8">
        <v>181</v>
      </c>
      <c r="H71" s="8">
        <v>53</v>
      </c>
      <c r="J71"/>
      <c r="K71"/>
    </row>
    <row r="72" spans="1:11" ht="13.5" customHeight="1">
      <c r="A72" s="9" t="s">
        <v>26</v>
      </c>
      <c r="B72" s="8">
        <v>1466</v>
      </c>
      <c r="C72" s="8">
        <v>26</v>
      </c>
      <c r="D72" s="8">
        <v>111</v>
      </c>
      <c r="E72" s="8">
        <v>60</v>
      </c>
      <c r="F72" s="8">
        <v>350</v>
      </c>
      <c r="G72" s="8">
        <v>497</v>
      </c>
      <c r="H72" s="8">
        <v>422</v>
      </c>
      <c r="J72"/>
      <c r="K72"/>
    </row>
    <row r="73" spans="1:11" ht="13.5" customHeight="1">
      <c r="A73" s="9" t="s">
        <v>27</v>
      </c>
      <c r="B73" s="8">
        <v>1655</v>
      </c>
      <c r="C73" s="8">
        <v>21</v>
      </c>
      <c r="D73" s="8">
        <v>37</v>
      </c>
      <c r="E73" s="8">
        <v>24</v>
      </c>
      <c r="F73" s="8">
        <v>167</v>
      </c>
      <c r="G73" s="8">
        <v>389</v>
      </c>
      <c r="H73" s="8">
        <v>1017</v>
      </c>
      <c r="J73"/>
      <c r="K73"/>
    </row>
    <row r="74" spans="1:11" ht="13.5" customHeight="1">
      <c r="A74" s="9" t="s">
        <v>28</v>
      </c>
      <c r="B74" s="8">
        <v>1117</v>
      </c>
      <c r="C74" s="8">
        <v>15</v>
      </c>
      <c r="D74" s="8">
        <v>19</v>
      </c>
      <c r="E74" s="8">
        <v>15</v>
      </c>
      <c r="F74" s="8">
        <v>66</v>
      </c>
      <c r="G74" s="8">
        <v>130</v>
      </c>
      <c r="H74" s="8">
        <v>872</v>
      </c>
      <c r="J74"/>
      <c r="K74"/>
    </row>
    <row r="75" spans="1:11" ht="13.5" customHeight="1">
      <c r="A75" s="9" t="s">
        <v>29</v>
      </c>
      <c r="B75" s="8">
        <v>703</v>
      </c>
      <c r="C75" s="8">
        <v>7</v>
      </c>
      <c r="D75" s="8">
        <v>21</v>
      </c>
      <c r="E75" s="8">
        <v>6</v>
      </c>
      <c r="F75" s="8">
        <v>32</v>
      </c>
      <c r="G75" s="8">
        <v>43</v>
      </c>
      <c r="H75" s="8">
        <v>594</v>
      </c>
      <c r="J75"/>
      <c r="K75"/>
    </row>
    <row r="76" spans="1:11" ht="13.5" customHeight="1">
      <c r="A76" s="9" t="s">
        <v>30</v>
      </c>
      <c r="B76" s="8">
        <v>513</v>
      </c>
      <c r="C76" s="8">
        <v>7</v>
      </c>
      <c r="D76" s="8">
        <v>13</v>
      </c>
      <c r="E76" s="8">
        <v>3</v>
      </c>
      <c r="F76" s="8">
        <v>10</v>
      </c>
      <c r="G76" s="8">
        <v>29</v>
      </c>
      <c r="H76" s="8">
        <v>451</v>
      </c>
      <c r="J76"/>
      <c r="K76"/>
    </row>
    <row r="77" spans="1:11" ht="13.5" customHeight="1">
      <c r="A77" s="161"/>
      <c r="C77" s="161"/>
      <c r="D77" s="161"/>
      <c r="E77" s="161"/>
      <c r="F77" s="161"/>
      <c r="G77" s="161"/>
      <c r="H77" s="161"/>
      <c r="J77"/>
      <c r="K77"/>
    </row>
    <row r="78" spans="1:11" ht="13.5" customHeight="1">
      <c r="A78" s="9" t="s">
        <v>84</v>
      </c>
      <c r="B78" s="161"/>
      <c r="C78" s="161"/>
      <c r="D78" s="161"/>
      <c r="E78" s="161"/>
      <c r="F78" s="161"/>
      <c r="G78" s="8"/>
      <c r="H78" s="8"/>
      <c r="J78"/>
      <c r="K78"/>
    </row>
    <row r="79" spans="1:11" ht="13.5" customHeight="1">
      <c r="A79" s="9"/>
      <c r="B79" s="161"/>
      <c r="C79" s="161"/>
      <c r="D79" s="161"/>
      <c r="E79" s="161"/>
      <c r="F79" s="161"/>
      <c r="G79" s="8"/>
      <c r="H79" s="8"/>
      <c r="J79"/>
      <c r="K79"/>
    </row>
    <row r="80" spans="1:11" ht="13.5" customHeight="1">
      <c r="A80" s="26" t="s">
        <v>113</v>
      </c>
      <c r="B80" s="8"/>
      <c r="C80" s="8"/>
      <c r="D80" s="8"/>
      <c r="E80" s="8"/>
      <c r="F80" s="8"/>
      <c r="G80" s="8"/>
      <c r="H80" s="8"/>
      <c r="J80"/>
      <c r="K80"/>
    </row>
    <row r="81" spans="1:10" ht="13.5" customHeight="1">
      <c r="A81" s="26"/>
      <c r="B81" s="8"/>
      <c r="C81" s="8"/>
      <c r="D81" s="8"/>
      <c r="E81" s="8"/>
      <c r="F81" s="8"/>
      <c r="G81" s="8"/>
      <c r="H81" s="8"/>
    </row>
    <row r="82" spans="1:10" ht="13.5" customHeight="1">
      <c r="A82" s="26"/>
      <c r="B82" s="8"/>
      <c r="C82" s="8"/>
      <c r="D82" s="8"/>
      <c r="E82" s="8"/>
      <c r="F82" s="8"/>
      <c r="G82" s="8"/>
      <c r="H82" s="8"/>
    </row>
    <row r="83" spans="1:10" ht="13.5" customHeight="1">
      <c r="A83" s="24" t="s">
        <v>197</v>
      </c>
      <c r="B83" s="94"/>
      <c r="C83" s="94"/>
      <c r="D83" s="94"/>
      <c r="E83" s="94"/>
      <c r="F83" s="162"/>
      <c r="G83" s="94"/>
      <c r="H83" s="96"/>
    </row>
    <row r="84" spans="1:10" ht="13.5" customHeight="1">
      <c r="A84" s="13" t="s">
        <v>1</v>
      </c>
      <c r="B84" s="13"/>
      <c r="C84" s="13"/>
      <c r="D84" s="13"/>
      <c r="E84" s="13"/>
      <c r="F84" s="13"/>
      <c r="G84" s="13"/>
      <c r="H84" s="160"/>
    </row>
    <row r="85" spans="1:10" ht="13.5" customHeight="1">
      <c r="A85" s="13"/>
      <c r="B85" s="13"/>
      <c r="C85" s="13"/>
      <c r="D85" s="13"/>
      <c r="E85" s="13"/>
      <c r="F85" s="13"/>
      <c r="G85" s="13"/>
      <c r="H85" s="25"/>
    </row>
    <row r="86" spans="1:10" ht="13.5" customHeight="1">
      <c r="A86" s="31"/>
      <c r="B86" s="31"/>
      <c r="C86" s="33"/>
      <c r="D86" s="33"/>
      <c r="E86" s="33"/>
      <c r="F86" s="33"/>
      <c r="G86" s="33"/>
      <c r="H86" s="34" t="s">
        <v>83</v>
      </c>
      <c r="J86" s="170" t="s">
        <v>126</v>
      </c>
    </row>
    <row r="87" spans="1:10" ht="13.5" customHeight="1">
      <c r="A87" s="30"/>
      <c r="B87" s="38" t="s">
        <v>2</v>
      </c>
      <c r="C87" s="31">
        <v>0</v>
      </c>
      <c r="D87" s="31">
        <v>1</v>
      </c>
      <c r="E87" s="31">
        <v>2</v>
      </c>
      <c r="F87" s="38" t="s">
        <v>3</v>
      </c>
      <c r="G87" s="38" t="s">
        <v>4</v>
      </c>
      <c r="H87" s="38" t="s">
        <v>64</v>
      </c>
    </row>
    <row r="88" spans="1:10" ht="13.5" customHeight="1">
      <c r="A88" s="37" t="s">
        <v>145</v>
      </c>
      <c r="B88" s="36">
        <v>9069</v>
      </c>
      <c r="C88" s="36">
        <v>162</v>
      </c>
      <c r="D88" s="36">
        <v>2510</v>
      </c>
      <c r="E88" s="36">
        <v>593</v>
      </c>
      <c r="F88" s="36">
        <v>1133</v>
      </c>
      <c r="G88" s="36">
        <v>1279</v>
      </c>
      <c r="H88" s="36">
        <v>3392</v>
      </c>
    </row>
    <row r="89" spans="1:10" ht="13.5" customHeight="1">
      <c r="A89" s="37" t="s">
        <v>5</v>
      </c>
      <c r="B89" s="36"/>
      <c r="C89" s="36"/>
      <c r="D89" s="36"/>
      <c r="E89" s="36"/>
      <c r="F89" s="36"/>
      <c r="G89" s="36"/>
      <c r="H89" s="36"/>
    </row>
    <row r="90" spans="1:10" ht="13.5" customHeight="1">
      <c r="A90" s="9" t="s">
        <v>6</v>
      </c>
      <c r="B90" s="8">
        <v>2194</v>
      </c>
      <c r="C90" s="8">
        <v>0</v>
      </c>
      <c r="D90" s="8">
        <v>2194</v>
      </c>
      <c r="E90" s="8">
        <v>0</v>
      </c>
      <c r="F90" s="8">
        <v>0</v>
      </c>
      <c r="G90" s="8">
        <v>0</v>
      </c>
      <c r="H90" s="8">
        <v>0</v>
      </c>
    </row>
    <row r="91" spans="1:10" ht="13.5" customHeight="1">
      <c r="A91" s="9" t="s">
        <v>7</v>
      </c>
      <c r="B91" s="8">
        <v>4219</v>
      </c>
      <c r="C91" s="8">
        <v>0</v>
      </c>
      <c r="D91" s="8">
        <v>0</v>
      </c>
      <c r="E91" s="8">
        <v>469</v>
      </c>
      <c r="F91" s="8">
        <v>786</v>
      </c>
      <c r="G91" s="8">
        <v>809</v>
      </c>
      <c r="H91" s="8">
        <v>2155</v>
      </c>
    </row>
    <row r="92" spans="1:10" ht="13.5" customHeight="1">
      <c r="A92" s="9" t="s">
        <v>8</v>
      </c>
      <c r="B92" s="8">
        <v>2250</v>
      </c>
      <c r="C92" s="8">
        <v>0</v>
      </c>
      <c r="D92" s="8">
        <v>152</v>
      </c>
      <c r="E92" s="8">
        <v>92</v>
      </c>
      <c r="F92" s="8">
        <v>323</v>
      </c>
      <c r="G92" s="8">
        <v>461</v>
      </c>
      <c r="H92" s="8">
        <v>1222</v>
      </c>
    </row>
    <row r="93" spans="1:10" ht="13.5" customHeight="1">
      <c r="A93" s="10" t="s">
        <v>65</v>
      </c>
      <c r="B93" s="8">
        <v>406</v>
      </c>
      <c r="C93" s="8">
        <v>162</v>
      </c>
      <c r="D93" s="8">
        <v>164</v>
      </c>
      <c r="E93" s="8">
        <v>32</v>
      </c>
      <c r="F93" s="8">
        <v>24</v>
      </c>
      <c r="G93" s="8">
        <v>9</v>
      </c>
      <c r="H93" s="8">
        <v>15</v>
      </c>
    </row>
    <row r="94" spans="1:10" ht="13.5" customHeight="1">
      <c r="A94" s="37" t="s">
        <v>9</v>
      </c>
      <c r="B94" s="36"/>
      <c r="C94" s="36"/>
      <c r="D94" s="36"/>
      <c r="E94" s="36"/>
      <c r="F94" s="36"/>
      <c r="G94" s="36"/>
      <c r="H94" s="36"/>
    </row>
    <row r="95" spans="1:10" ht="13.5" customHeight="1">
      <c r="A95" s="9" t="s">
        <v>10</v>
      </c>
      <c r="B95" s="8">
        <v>2138</v>
      </c>
      <c r="C95" s="8">
        <v>71</v>
      </c>
      <c r="D95" s="8">
        <v>457</v>
      </c>
      <c r="E95" s="8">
        <v>184</v>
      </c>
      <c r="F95" s="8">
        <v>554</v>
      </c>
      <c r="G95" s="8">
        <v>366</v>
      </c>
      <c r="H95" s="8">
        <v>506</v>
      </c>
    </row>
    <row r="96" spans="1:10" ht="13.5" customHeight="1">
      <c r="A96" s="9" t="s">
        <v>11</v>
      </c>
      <c r="B96" s="8">
        <v>1986</v>
      </c>
      <c r="C96" s="8">
        <v>20</v>
      </c>
      <c r="D96" s="8">
        <v>561</v>
      </c>
      <c r="E96" s="8">
        <v>132</v>
      </c>
      <c r="F96" s="8">
        <v>254</v>
      </c>
      <c r="G96" s="8">
        <v>360</v>
      </c>
      <c r="H96" s="8">
        <v>659</v>
      </c>
      <c r="J96" s="232"/>
    </row>
    <row r="97" spans="1:11" ht="13.5" customHeight="1">
      <c r="A97" s="9" t="s">
        <v>12</v>
      </c>
      <c r="B97" s="8">
        <v>1575</v>
      </c>
      <c r="C97" s="8">
        <v>10</v>
      </c>
      <c r="D97" s="8">
        <v>384</v>
      </c>
      <c r="E97" s="8">
        <v>85</v>
      </c>
      <c r="F97" s="8">
        <v>86</v>
      </c>
      <c r="G97" s="8">
        <v>166</v>
      </c>
      <c r="H97" s="8">
        <v>844</v>
      </c>
    </row>
    <row r="98" spans="1:11" ht="13.5" customHeight="1">
      <c r="A98" s="9" t="s">
        <v>13</v>
      </c>
      <c r="B98" s="8">
        <v>820</v>
      </c>
      <c r="C98" s="8">
        <v>13</v>
      </c>
      <c r="D98" s="8">
        <v>144</v>
      </c>
      <c r="E98" s="8">
        <v>28</v>
      </c>
      <c r="F98" s="8">
        <v>53</v>
      </c>
      <c r="G98" s="8">
        <v>52</v>
      </c>
      <c r="H98" s="8">
        <v>530</v>
      </c>
    </row>
    <row r="99" spans="1:11" ht="13.5" customHeight="1">
      <c r="A99" s="9" t="s">
        <v>14</v>
      </c>
      <c r="B99" s="8">
        <v>473</v>
      </c>
      <c r="C99" s="8">
        <v>8</v>
      </c>
      <c r="D99" s="8">
        <v>130</v>
      </c>
      <c r="E99" s="8">
        <v>21</v>
      </c>
      <c r="F99" s="8">
        <v>18</v>
      </c>
      <c r="G99" s="8">
        <v>60</v>
      </c>
      <c r="H99" s="8">
        <v>236</v>
      </c>
    </row>
    <row r="100" spans="1:11" ht="13.5" customHeight="1">
      <c r="A100" s="9" t="s">
        <v>15</v>
      </c>
      <c r="B100" s="8">
        <v>253</v>
      </c>
      <c r="C100" s="8">
        <v>3</v>
      </c>
      <c r="D100" s="8">
        <v>110</v>
      </c>
      <c r="E100" s="8">
        <v>21</v>
      </c>
      <c r="F100" s="8">
        <v>4</v>
      </c>
      <c r="G100" s="8">
        <v>32</v>
      </c>
      <c r="H100" s="8">
        <v>83</v>
      </c>
    </row>
    <row r="101" spans="1:11" ht="13.5" customHeight="1">
      <c r="A101" s="9" t="s">
        <v>16</v>
      </c>
      <c r="B101" s="8">
        <v>286</v>
      </c>
      <c r="C101" s="8">
        <v>7</v>
      </c>
      <c r="D101" s="8">
        <v>128</v>
      </c>
      <c r="E101" s="8">
        <v>6</v>
      </c>
      <c r="F101" s="8">
        <v>8</v>
      </c>
      <c r="G101" s="8">
        <v>63</v>
      </c>
      <c r="H101" s="8">
        <v>74</v>
      </c>
    </row>
    <row r="102" spans="1:11" ht="13.5" customHeight="1">
      <c r="A102" s="9" t="s">
        <v>17</v>
      </c>
      <c r="B102" s="8">
        <v>177</v>
      </c>
      <c r="C102" s="8">
        <v>5</v>
      </c>
      <c r="D102" s="8">
        <v>89</v>
      </c>
      <c r="E102" s="8">
        <v>9</v>
      </c>
      <c r="F102" s="8">
        <v>8</v>
      </c>
      <c r="G102" s="8">
        <v>28</v>
      </c>
      <c r="H102" s="8">
        <v>38</v>
      </c>
    </row>
    <row r="103" spans="1:11" ht="13.5" customHeight="1">
      <c r="A103" s="9" t="s">
        <v>18</v>
      </c>
      <c r="B103" s="8">
        <v>194</v>
      </c>
      <c r="C103" s="8">
        <v>0</v>
      </c>
      <c r="D103" s="8">
        <v>115</v>
      </c>
      <c r="E103" s="8">
        <v>8</v>
      </c>
      <c r="F103" s="8">
        <v>15</v>
      </c>
      <c r="G103" s="8">
        <v>10</v>
      </c>
      <c r="H103" s="8">
        <v>46</v>
      </c>
    </row>
    <row r="104" spans="1:11" ht="13.5" customHeight="1">
      <c r="A104" s="9" t="s">
        <v>19</v>
      </c>
      <c r="B104" s="8">
        <v>188</v>
      </c>
      <c r="C104" s="8">
        <v>2</v>
      </c>
      <c r="D104" s="8">
        <v>93</v>
      </c>
      <c r="E104" s="8">
        <v>9</v>
      </c>
      <c r="F104" s="8">
        <v>16</v>
      </c>
      <c r="G104" s="8">
        <v>16</v>
      </c>
      <c r="H104" s="8">
        <v>52</v>
      </c>
    </row>
    <row r="105" spans="1:11" ht="13.5" customHeight="1">
      <c r="A105" s="9" t="s">
        <v>20</v>
      </c>
      <c r="B105" s="8">
        <v>378</v>
      </c>
      <c r="C105" s="8">
        <v>7</v>
      </c>
      <c r="D105" s="8">
        <v>184</v>
      </c>
      <c r="E105" s="8">
        <v>23</v>
      </c>
      <c r="F105" s="8">
        <v>32</v>
      </c>
      <c r="G105" s="8">
        <v>41</v>
      </c>
      <c r="H105" s="8">
        <v>91</v>
      </c>
    </row>
    <row r="106" spans="1:11" ht="13.5" customHeight="1">
      <c r="A106" s="9" t="s">
        <v>21</v>
      </c>
      <c r="B106" s="8">
        <v>266</v>
      </c>
      <c r="C106" s="8">
        <v>8</v>
      </c>
      <c r="D106" s="8">
        <v>66</v>
      </c>
      <c r="E106" s="8">
        <v>34</v>
      </c>
      <c r="F106" s="8">
        <v>38</v>
      </c>
      <c r="G106" s="8">
        <v>32</v>
      </c>
      <c r="H106" s="8">
        <v>88</v>
      </c>
    </row>
    <row r="107" spans="1:11" ht="13.5" customHeight="1">
      <c r="A107" s="9" t="s">
        <v>112</v>
      </c>
      <c r="B107" s="8">
        <v>335</v>
      </c>
      <c r="C107" s="8">
        <v>8</v>
      </c>
      <c r="D107" s="8">
        <v>49</v>
      </c>
      <c r="E107" s="8">
        <v>33</v>
      </c>
      <c r="F107" s="8">
        <v>47</v>
      </c>
      <c r="G107" s="8">
        <v>53</v>
      </c>
      <c r="H107" s="8">
        <v>145</v>
      </c>
    </row>
    <row r="108" spans="1:11" ht="13.5" customHeight="1">
      <c r="A108" s="37" t="s">
        <v>22</v>
      </c>
      <c r="B108" s="36"/>
      <c r="C108" s="36"/>
      <c r="D108" s="36"/>
      <c r="E108" s="36"/>
      <c r="F108" s="36"/>
      <c r="G108" s="36"/>
      <c r="H108" s="36"/>
    </row>
    <row r="109" spans="1:11" ht="13.5" customHeight="1">
      <c r="A109" s="9" t="s">
        <v>23</v>
      </c>
      <c r="B109" s="12">
        <v>109</v>
      </c>
      <c r="C109" s="8">
        <v>11</v>
      </c>
      <c r="D109" s="8">
        <v>91</v>
      </c>
      <c r="E109" s="8">
        <v>4</v>
      </c>
      <c r="F109" s="8">
        <v>2</v>
      </c>
      <c r="G109" s="8"/>
      <c r="H109" s="8">
        <v>1</v>
      </c>
    </row>
    <row r="110" spans="1:11" ht="13.5" customHeight="1">
      <c r="A110" s="9" t="s">
        <v>24</v>
      </c>
      <c r="B110" s="12">
        <v>1465</v>
      </c>
      <c r="C110" s="8">
        <v>54</v>
      </c>
      <c r="D110" s="8">
        <v>1145</v>
      </c>
      <c r="E110" s="8">
        <v>181</v>
      </c>
      <c r="F110" s="8">
        <v>70</v>
      </c>
      <c r="G110" s="8">
        <v>9</v>
      </c>
      <c r="H110" s="8">
        <v>6</v>
      </c>
      <c r="J110"/>
      <c r="K110"/>
    </row>
    <row r="111" spans="1:11" ht="13.5" customHeight="1">
      <c r="A111" s="9" t="s">
        <v>25</v>
      </c>
      <c r="B111" s="12">
        <v>2053</v>
      </c>
      <c r="C111" s="8">
        <v>20</v>
      </c>
      <c r="D111" s="8">
        <v>1072</v>
      </c>
      <c r="E111" s="8">
        <v>298</v>
      </c>
      <c r="F111" s="8">
        <v>431</v>
      </c>
      <c r="G111" s="8">
        <v>180</v>
      </c>
      <c r="H111" s="8">
        <v>52</v>
      </c>
      <c r="J111"/>
      <c r="K111"/>
    </row>
    <row r="112" spans="1:11" ht="13.5" customHeight="1">
      <c r="A112" s="9" t="s">
        <v>26</v>
      </c>
      <c r="B112" s="12">
        <v>1465</v>
      </c>
      <c r="C112" s="8">
        <v>27</v>
      </c>
      <c r="D112" s="8">
        <v>112</v>
      </c>
      <c r="E112" s="8">
        <v>61</v>
      </c>
      <c r="F112" s="8">
        <v>350</v>
      </c>
      <c r="G112" s="8">
        <v>496</v>
      </c>
      <c r="H112" s="8">
        <v>419</v>
      </c>
      <c r="J112"/>
      <c r="K112"/>
    </row>
    <row r="113" spans="1:11" ht="13.5" customHeight="1">
      <c r="A113" s="9" t="s">
        <v>27</v>
      </c>
      <c r="B113" s="12">
        <v>1668</v>
      </c>
      <c r="C113" s="8">
        <v>22</v>
      </c>
      <c r="D113" s="8">
        <v>38</v>
      </c>
      <c r="E113" s="8">
        <v>24</v>
      </c>
      <c r="F113" s="8">
        <v>168</v>
      </c>
      <c r="G113" s="8">
        <v>394</v>
      </c>
      <c r="H113" s="8">
        <v>1022</v>
      </c>
      <c r="J113"/>
      <c r="K113"/>
    </row>
    <row r="114" spans="1:11" ht="13.5" customHeight="1">
      <c r="A114" s="9" t="s">
        <v>28</v>
      </c>
      <c r="B114" s="12">
        <v>1098</v>
      </c>
      <c r="C114" s="8">
        <v>16</v>
      </c>
      <c r="D114" s="8">
        <v>18</v>
      </c>
      <c r="E114" s="8">
        <v>16</v>
      </c>
      <c r="F114" s="8">
        <v>70</v>
      </c>
      <c r="G114" s="8">
        <v>128</v>
      </c>
      <c r="H114" s="8">
        <v>850</v>
      </c>
      <c r="J114"/>
      <c r="K114"/>
    </row>
    <row r="115" spans="1:11" ht="13.5" customHeight="1">
      <c r="A115" s="9" t="s">
        <v>29</v>
      </c>
      <c r="B115" s="12">
        <v>703</v>
      </c>
      <c r="C115" s="8">
        <v>7</v>
      </c>
      <c r="D115" s="8">
        <v>21</v>
      </c>
      <c r="E115" s="8">
        <v>6</v>
      </c>
      <c r="F115" s="8">
        <v>32</v>
      </c>
      <c r="G115" s="8">
        <v>43</v>
      </c>
      <c r="H115" s="8">
        <v>594</v>
      </c>
      <c r="J115"/>
      <c r="K115"/>
    </row>
    <row r="116" spans="1:11" ht="13.5" customHeight="1">
      <c r="A116" s="9" t="s">
        <v>30</v>
      </c>
      <c r="B116" s="12">
        <v>508</v>
      </c>
      <c r="C116" s="8">
        <v>5</v>
      </c>
      <c r="D116" s="8">
        <v>13</v>
      </c>
      <c r="E116" s="8">
        <v>3</v>
      </c>
      <c r="F116" s="8">
        <v>10</v>
      </c>
      <c r="G116" s="8">
        <v>29</v>
      </c>
      <c r="H116" s="8">
        <v>448</v>
      </c>
      <c r="J116"/>
      <c r="K116"/>
    </row>
    <row r="117" spans="1:11" ht="13.5" customHeight="1">
      <c r="A117" s="161"/>
      <c r="C117" s="161"/>
      <c r="D117" s="161"/>
      <c r="E117" s="161"/>
      <c r="F117" s="161"/>
      <c r="G117" s="161"/>
      <c r="H117" s="161"/>
      <c r="J117"/>
      <c r="K117"/>
    </row>
    <row r="118" spans="1:11" ht="13.5" customHeight="1">
      <c r="A118" s="9" t="s">
        <v>84</v>
      </c>
      <c r="B118" s="161"/>
      <c r="C118" s="161"/>
      <c r="D118" s="161"/>
      <c r="E118" s="161"/>
      <c r="F118" s="161"/>
      <c r="G118" s="8"/>
      <c r="H118" s="8"/>
      <c r="J118"/>
      <c r="K118"/>
    </row>
    <row r="119" spans="1:11" ht="13.5" customHeight="1">
      <c r="A119" s="9"/>
      <c r="B119" s="161"/>
      <c r="C119" s="161"/>
      <c r="D119" s="161"/>
      <c r="E119" s="161"/>
      <c r="F119" s="161"/>
      <c r="G119" s="8"/>
      <c r="H119" s="8"/>
      <c r="J119"/>
      <c r="K119"/>
    </row>
    <row r="120" spans="1:11" ht="13.5" customHeight="1">
      <c r="A120" s="26" t="s">
        <v>113</v>
      </c>
      <c r="B120" s="8"/>
      <c r="C120" s="8"/>
      <c r="D120" s="8"/>
      <c r="E120" s="8"/>
      <c r="F120" s="8"/>
      <c r="G120" s="8"/>
      <c r="H120" s="8"/>
      <c r="J120"/>
      <c r="K120"/>
    </row>
    <row r="121" spans="1:11" ht="13.5" customHeight="1">
      <c r="A121" s="26"/>
      <c r="B121" s="8"/>
      <c r="C121" s="8"/>
      <c r="D121" s="8"/>
      <c r="E121" s="8"/>
      <c r="F121" s="8"/>
      <c r="G121" s="8"/>
      <c r="H121" s="8"/>
    </row>
    <row r="122" spans="1:11" ht="13.5" customHeight="1">
      <c r="A122" s="26"/>
      <c r="B122" s="8"/>
      <c r="C122" s="8"/>
      <c r="D122" s="8"/>
      <c r="E122" s="8"/>
      <c r="F122" s="8"/>
      <c r="G122" s="8"/>
      <c r="H122" s="8"/>
    </row>
    <row r="123" spans="1:11" ht="13.5" customHeight="1">
      <c r="A123" s="24" t="s">
        <v>198</v>
      </c>
      <c r="B123" s="94"/>
      <c r="C123" s="94"/>
      <c r="D123" s="94"/>
      <c r="E123" s="94"/>
      <c r="F123" s="162"/>
      <c r="G123" s="94"/>
      <c r="H123" s="96"/>
    </row>
    <row r="124" spans="1:11" ht="13.5" customHeight="1">
      <c r="A124" s="13" t="s">
        <v>1</v>
      </c>
      <c r="B124" s="13"/>
      <c r="C124" s="13"/>
      <c r="D124" s="13"/>
      <c r="E124" s="13"/>
      <c r="F124" s="13"/>
      <c r="G124" s="13"/>
      <c r="H124" s="160"/>
    </row>
    <row r="125" spans="1:11" ht="13.5" customHeight="1">
      <c r="A125" s="13"/>
      <c r="B125" s="13"/>
      <c r="C125" s="13"/>
      <c r="D125" s="13"/>
      <c r="E125" s="13"/>
      <c r="F125" s="13"/>
      <c r="G125" s="13"/>
      <c r="H125" s="25"/>
    </row>
    <row r="126" spans="1:11" ht="13.5" customHeight="1">
      <c r="A126" s="31"/>
      <c r="B126" s="31"/>
      <c r="C126" s="33"/>
      <c r="D126" s="33"/>
      <c r="E126" s="33"/>
      <c r="F126" s="33"/>
      <c r="G126" s="33"/>
      <c r="H126" s="34" t="s">
        <v>83</v>
      </c>
      <c r="J126" s="170" t="s">
        <v>126</v>
      </c>
    </row>
    <row r="127" spans="1:11" ht="13.5" customHeight="1">
      <c r="A127" s="30"/>
      <c r="B127" s="38" t="s">
        <v>2</v>
      </c>
      <c r="C127" s="31">
        <v>0</v>
      </c>
      <c r="D127" s="31">
        <v>1</v>
      </c>
      <c r="E127" s="31">
        <v>2</v>
      </c>
      <c r="F127" s="38" t="s">
        <v>3</v>
      </c>
      <c r="G127" s="38" t="s">
        <v>4</v>
      </c>
      <c r="H127" s="38" t="s">
        <v>64</v>
      </c>
    </row>
    <row r="128" spans="1:11" ht="13.5" customHeight="1">
      <c r="A128" s="37" t="s">
        <v>145</v>
      </c>
      <c r="B128" s="36">
        <v>9052</v>
      </c>
      <c r="C128" s="36">
        <v>162</v>
      </c>
      <c r="D128" s="36">
        <v>2521</v>
      </c>
      <c r="E128" s="36">
        <v>591</v>
      </c>
      <c r="F128" s="36">
        <v>1124</v>
      </c>
      <c r="G128" s="36">
        <v>1283</v>
      </c>
      <c r="H128" s="36">
        <v>3371</v>
      </c>
    </row>
    <row r="129" spans="1:10" ht="13.5" customHeight="1">
      <c r="A129" s="37" t="s">
        <v>5</v>
      </c>
      <c r="B129" s="36"/>
      <c r="C129" s="36"/>
      <c r="D129" s="36"/>
      <c r="E129" s="36"/>
      <c r="F129" s="36"/>
      <c r="G129" s="36"/>
      <c r="H129" s="36"/>
    </row>
    <row r="130" spans="1:10" ht="13.5" customHeight="1">
      <c r="A130" s="9" t="s">
        <v>6</v>
      </c>
      <c r="B130" s="8">
        <v>2177</v>
      </c>
      <c r="C130" s="8">
        <v>0</v>
      </c>
      <c r="D130" s="8">
        <v>2177</v>
      </c>
      <c r="E130" s="8">
        <v>0</v>
      </c>
      <c r="F130" s="8">
        <v>0</v>
      </c>
      <c r="G130" s="8">
        <v>0</v>
      </c>
      <c r="H130" s="8">
        <v>0</v>
      </c>
    </row>
    <row r="131" spans="1:10" ht="13.5" customHeight="1">
      <c r="A131" s="9" t="s">
        <v>7</v>
      </c>
      <c r="B131" s="8">
        <v>4184</v>
      </c>
      <c r="C131" s="8">
        <v>0</v>
      </c>
      <c r="D131" s="8">
        <v>0</v>
      </c>
      <c r="E131" s="8">
        <v>459</v>
      </c>
      <c r="F131" s="8">
        <v>777</v>
      </c>
      <c r="G131" s="8">
        <v>807</v>
      </c>
      <c r="H131" s="8">
        <v>2141</v>
      </c>
    </row>
    <row r="132" spans="1:10" ht="13.5" customHeight="1">
      <c r="A132" s="9" t="s">
        <v>8</v>
      </c>
      <c r="B132" s="8">
        <v>2181</v>
      </c>
      <c r="C132" s="8">
        <v>0</v>
      </c>
      <c r="D132" s="8">
        <v>123</v>
      </c>
      <c r="E132" s="8">
        <v>89</v>
      </c>
      <c r="F132" s="8">
        <v>303</v>
      </c>
      <c r="G132" s="8">
        <v>457</v>
      </c>
      <c r="H132" s="8">
        <v>1209</v>
      </c>
    </row>
    <row r="133" spans="1:10" ht="13.5" customHeight="1">
      <c r="A133" s="10" t="s">
        <v>65</v>
      </c>
      <c r="B133" s="8">
        <v>510</v>
      </c>
      <c r="C133" s="8">
        <v>162</v>
      </c>
      <c r="D133" s="8">
        <v>221</v>
      </c>
      <c r="E133" s="8">
        <v>43</v>
      </c>
      <c r="F133" s="8">
        <v>44</v>
      </c>
      <c r="G133" s="8">
        <v>19</v>
      </c>
      <c r="H133" s="8">
        <v>21</v>
      </c>
    </row>
    <row r="134" spans="1:10" ht="13.5" customHeight="1">
      <c r="A134" s="37" t="s">
        <v>9</v>
      </c>
      <c r="B134" s="36"/>
      <c r="C134" s="36"/>
      <c r="D134" s="36"/>
      <c r="E134" s="36"/>
      <c r="F134" s="36"/>
      <c r="G134" s="36"/>
      <c r="H134" s="36"/>
    </row>
    <row r="135" spans="1:10" ht="13.5" customHeight="1">
      <c r="A135" s="9" t="s">
        <v>10</v>
      </c>
      <c r="B135" s="8">
        <v>2153</v>
      </c>
      <c r="C135" s="8">
        <v>73</v>
      </c>
      <c r="D135" s="8">
        <v>472</v>
      </c>
      <c r="E135" s="8">
        <v>184</v>
      </c>
      <c r="F135" s="8">
        <v>552</v>
      </c>
      <c r="G135" s="8">
        <v>369</v>
      </c>
      <c r="H135" s="8">
        <v>503</v>
      </c>
    </row>
    <row r="136" spans="1:10" ht="13.5" customHeight="1">
      <c r="A136" s="9" t="s">
        <v>11</v>
      </c>
      <c r="B136" s="8">
        <v>1992</v>
      </c>
      <c r="C136" s="8">
        <v>20</v>
      </c>
      <c r="D136" s="8">
        <v>564</v>
      </c>
      <c r="E136" s="8">
        <v>134</v>
      </c>
      <c r="F136" s="8">
        <v>252</v>
      </c>
      <c r="G136" s="8">
        <v>366</v>
      </c>
      <c r="H136" s="8">
        <v>656</v>
      </c>
      <c r="J136" s="232"/>
    </row>
    <row r="137" spans="1:10" ht="13.5" customHeight="1">
      <c r="A137" s="9" t="s">
        <v>12</v>
      </c>
      <c r="B137" s="8">
        <v>1577</v>
      </c>
      <c r="C137" s="8">
        <v>10</v>
      </c>
      <c r="D137" s="8">
        <v>386</v>
      </c>
      <c r="E137" s="8">
        <v>85</v>
      </c>
      <c r="F137" s="8">
        <v>88</v>
      </c>
      <c r="G137" s="8">
        <v>166</v>
      </c>
      <c r="H137" s="8">
        <v>842</v>
      </c>
    </row>
    <row r="138" spans="1:10" ht="13.5" customHeight="1">
      <c r="A138" s="9" t="s">
        <v>13</v>
      </c>
      <c r="B138" s="8">
        <v>825</v>
      </c>
      <c r="C138" s="8">
        <v>13</v>
      </c>
      <c r="D138" s="8">
        <v>148</v>
      </c>
      <c r="E138" s="8">
        <v>28</v>
      </c>
      <c r="F138" s="8">
        <v>53</v>
      </c>
      <c r="G138" s="8">
        <v>52</v>
      </c>
      <c r="H138" s="8">
        <v>531</v>
      </c>
    </row>
    <row r="139" spans="1:10" ht="13.5" customHeight="1">
      <c r="A139" s="9" t="s">
        <v>14</v>
      </c>
      <c r="B139" s="8">
        <v>475</v>
      </c>
      <c r="C139" s="8">
        <v>9</v>
      </c>
      <c r="D139" s="8">
        <v>130</v>
      </c>
      <c r="E139" s="8">
        <v>20</v>
      </c>
      <c r="F139" s="8">
        <v>19</v>
      </c>
      <c r="G139" s="8">
        <v>60</v>
      </c>
      <c r="H139" s="8">
        <v>237</v>
      </c>
    </row>
    <row r="140" spans="1:10" ht="13.5" customHeight="1">
      <c r="A140" s="9" t="s">
        <v>15</v>
      </c>
      <c r="B140" s="8">
        <v>255</v>
      </c>
      <c r="C140" s="8">
        <v>5</v>
      </c>
      <c r="D140" s="8">
        <v>110</v>
      </c>
      <c r="E140" s="8">
        <v>21</v>
      </c>
      <c r="F140" s="8">
        <v>4</v>
      </c>
      <c r="G140" s="8">
        <v>32</v>
      </c>
      <c r="H140" s="8">
        <v>83</v>
      </c>
    </row>
    <row r="141" spans="1:10" ht="13.5" customHeight="1">
      <c r="A141" s="9" t="s">
        <v>16</v>
      </c>
      <c r="B141" s="8">
        <v>285</v>
      </c>
      <c r="C141" s="8">
        <v>5</v>
      </c>
      <c r="D141" s="8">
        <v>129</v>
      </c>
      <c r="E141" s="8">
        <v>6</v>
      </c>
      <c r="F141" s="8">
        <v>8</v>
      </c>
      <c r="G141" s="8">
        <v>62</v>
      </c>
      <c r="H141" s="8">
        <v>75</v>
      </c>
    </row>
    <row r="142" spans="1:10" ht="13.5" customHeight="1">
      <c r="A142" s="9" t="s">
        <v>17</v>
      </c>
      <c r="B142" s="8">
        <v>179</v>
      </c>
      <c r="C142" s="8">
        <v>6</v>
      </c>
      <c r="D142" s="8">
        <v>90</v>
      </c>
      <c r="E142" s="8">
        <v>9</v>
      </c>
      <c r="F142" s="8">
        <v>8</v>
      </c>
      <c r="G142" s="8">
        <v>28</v>
      </c>
      <c r="H142" s="8">
        <v>38</v>
      </c>
    </row>
    <row r="143" spans="1:10" ht="13.5" customHeight="1">
      <c r="A143" s="9" t="s">
        <v>18</v>
      </c>
      <c r="B143" s="8">
        <v>194</v>
      </c>
      <c r="C143" s="8">
        <v>0</v>
      </c>
      <c r="D143" s="8">
        <v>115</v>
      </c>
      <c r="E143" s="8">
        <v>8</v>
      </c>
      <c r="F143" s="8">
        <v>15</v>
      </c>
      <c r="G143" s="8">
        <v>10</v>
      </c>
      <c r="H143" s="8">
        <v>46</v>
      </c>
    </row>
    <row r="144" spans="1:10" ht="13.5" customHeight="1">
      <c r="A144" s="9" t="s">
        <v>19</v>
      </c>
      <c r="B144" s="8">
        <v>187</v>
      </c>
      <c r="C144" s="8">
        <v>2</v>
      </c>
      <c r="D144" s="8">
        <v>92</v>
      </c>
      <c r="E144" s="8">
        <v>9</v>
      </c>
      <c r="F144" s="8">
        <v>16</v>
      </c>
      <c r="G144" s="8">
        <v>16</v>
      </c>
      <c r="H144" s="8">
        <v>52</v>
      </c>
    </row>
    <row r="145" spans="1:11" ht="13.5" customHeight="1">
      <c r="A145" s="9" t="s">
        <v>20</v>
      </c>
      <c r="B145" s="8">
        <v>379</v>
      </c>
      <c r="C145" s="8">
        <v>6</v>
      </c>
      <c r="D145" s="8">
        <v>185</v>
      </c>
      <c r="E145" s="8">
        <v>23</v>
      </c>
      <c r="F145" s="8">
        <v>33</v>
      </c>
      <c r="G145" s="8">
        <v>41</v>
      </c>
      <c r="H145" s="8">
        <v>91</v>
      </c>
    </row>
    <row r="146" spans="1:11" ht="13.5" customHeight="1">
      <c r="A146" s="9" t="s">
        <v>21</v>
      </c>
      <c r="B146" s="8">
        <v>266</v>
      </c>
      <c r="C146" s="8">
        <v>7</v>
      </c>
      <c r="D146" s="8">
        <v>66</v>
      </c>
      <c r="E146" s="8">
        <v>34</v>
      </c>
      <c r="F146" s="8">
        <v>38</v>
      </c>
      <c r="G146" s="8">
        <v>32</v>
      </c>
      <c r="H146" s="8">
        <v>89</v>
      </c>
    </row>
    <row r="147" spans="1:11" ht="13.5" customHeight="1">
      <c r="A147" s="9" t="s">
        <v>112</v>
      </c>
      <c r="B147" s="8">
        <v>285</v>
      </c>
      <c r="C147" s="8">
        <v>6</v>
      </c>
      <c r="D147" s="8">
        <v>34</v>
      </c>
      <c r="E147" s="8">
        <v>30</v>
      </c>
      <c r="F147" s="8">
        <v>38</v>
      </c>
      <c r="G147" s="8">
        <v>49</v>
      </c>
      <c r="H147" s="8">
        <v>128</v>
      </c>
    </row>
    <row r="148" spans="1:11" ht="13.5" customHeight="1">
      <c r="A148" s="37" t="s">
        <v>22</v>
      </c>
      <c r="B148" s="36"/>
      <c r="C148" s="36"/>
      <c r="D148" s="36"/>
      <c r="E148" s="36"/>
      <c r="F148" s="36"/>
      <c r="G148" s="36"/>
      <c r="H148" s="36"/>
    </row>
    <row r="149" spans="1:11" ht="13.5" customHeight="1">
      <c r="A149" s="9" t="s">
        <v>23</v>
      </c>
      <c r="B149" s="8">
        <v>110</v>
      </c>
      <c r="C149" s="8">
        <v>8</v>
      </c>
      <c r="D149" s="8">
        <v>94</v>
      </c>
      <c r="E149" s="8">
        <v>5</v>
      </c>
      <c r="F149" s="8">
        <v>2</v>
      </c>
      <c r="G149" s="8">
        <v>0</v>
      </c>
      <c r="H149" s="8">
        <v>1</v>
      </c>
    </row>
    <row r="150" spans="1:11" ht="13.5" customHeight="1">
      <c r="A150" s="9" t="s">
        <v>24</v>
      </c>
      <c r="B150" s="8">
        <v>1461</v>
      </c>
      <c r="C150" s="8">
        <v>58</v>
      </c>
      <c r="D150" s="8">
        <v>1137</v>
      </c>
      <c r="E150" s="8">
        <v>181</v>
      </c>
      <c r="F150" s="8">
        <v>70</v>
      </c>
      <c r="G150" s="8">
        <v>9</v>
      </c>
      <c r="H150" s="8">
        <v>6</v>
      </c>
      <c r="J150"/>
      <c r="K150"/>
    </row>
    <row r="151" spans="1:11" ht="13.5" customHeight="1">
      <c r="A151" s="9" t="s">
        <v>25</v>
      </c>
      <c r="B151" s="8">
        <v>2044</v>
      </c>
      <c r="C151" s="8">
        <v>20</v>
      </c>
      <c r="D151" s="8">
        <v>1077</v>
      </c>
      <c r="E151" s="8">
        <v>293</v>
      </c>
      <c r="F151" s="8">
        <v>425</v>
      </c>
      <c r="G151" s="8">
        <v>177</v>
      </c>
      <c r="H151" s="8">
        <v>52</v>
      </c>
      <c r="J151"/>
      <c r="K151"/>
    </row>
    <row r="152" spans="1:11" ht="13.5" customHeight="1">
      <c r="A152" s="9" t="s">
        <v>26</v>
      </c>
      <c r="B152" s="8">
        <v>1472</v>
      </c>
      <c r="C152" s="8">
        <v>25</v>
      </c>
      <c r="D152" s="8">
        <v>120</v>
      </c>
      <c r="E152" s="8">
        <v>63</v>
      </c>
      <c r="F152" s="8">
        <v>347</v>
      </c>
      <c r="G152" s="8">
        <v>498</v>
      </c>
      <c r="H152" s="8">
        <v>419</v>
      </c>
      <c r="J152"/>
      <c r="K152"/>
    </row>
    <row r="153" spans="1:11" ht="13.5" customHeight="1">
      <c r="A153" s="9" t="s">
        <v>27</v>
      </c>
      <c r="B153" s="8">
        <v>1664</v>
      </c>
      <c r="C153" s="8">
        <v>23</v>
      </c>
      <c r="D153" s="8">
        <v>39</v>
      </c>
      <c r="E153" s="8">
        <v>23</v>
      </c>
      <c r="F153" s="8">
        <v>170</v>
      </c>
      <c r="G153" s="8">
        <v>393</v>
      </c>
      <c r="H153" s="8">
        <v>1016</v>
      </c>
      <c r="J153"/>
      <c r="K153"/>
    </row>
    <row r="154" spans="1:11" ht="13.5" customHeight="1">
      <c r="A154" s="9" t="s">
        <v>28</v>
      </c>
      <c r="B154" s="8">
        <v>1100</v>
      </c>
      <c r="C154" s="8">
        <v>16</v>
      </c>
      <c r="D154" s="8">
        <v>19</v>
      </c>
      <c r="E154" s="8">
        <v>17</v>
      </c>
      <c r="F154" s="8">
        <v>69</v>
      </c>
      <c r="G154" s="8">
        <v>133</v>
      </c>
      <c r="H154" s="8">
        <v>846</v>
      </c>
      <c r="J154"/>
      <c r="K154"/>
    </row>
    <row r="155" spans="1:11" ht="13.5" customHeight="1">
      <c r="A155" s="9" t="s">
        <v>29</v>
      </c>
      <c r="B155" s="8">
        <v>695</v>
      </c>
      <c r="C155" s="8">
        <v>7</v>
      </c>
      <c r="D155" s="8">
        <v>22</v>
      </c>
      <c r="E155" s="8">
        <v>6</v>
      </c>
      <c r="F155" s="8">
        <v>31</v>
      </c>
      <c r="G155" s="8">
        <v>44</v>
      </c>
      <c r="H155" s="8">
        <v>585</v>
      </c>
      <c r="J155"/>
      <c r="K155"/>
    </row>
    <row r="156" spans="1:11" ht="13.5" customHeight="1">
      <c r="A156" s="9" t="s">
        <v>30</v>
      </c>
      <c r="B156" s="8">
        <f>+B128-B149-B150-B151-B152-B153-B154-B155</f>
        <v>506</v>
      </c>
      <c r="C156" s="8">
        <f t="shared" ref="C156:H156" si="3">+C128-C149-C150-C151-C152-C153-C154-C155</f>
        <v>5</v>
      </c>
      <c r="D156" s="8">
        <f t="shared" si="3"/>
        <v>13</v>
      </c>
      <c r="E156" s="8">
        <f t="shared" si="3"/>
        <v>3</v>
      </c>
      <c r="F156" s="8">
        <f t="shared" si="3"/>
        <v>10</v>
      </c>
      <c r="G156" s="8">
        <f t="shared" si="3"/>
        <v>29</v>
      </c>
      <c r="H156" s="8">
        <f t="shared" si="3"/>
        <v>446</v>
      </c>
      <c r="J156"/>
      <c r="K156"/>
    </row>
    <row r="157" spans="1:11" ht="13.5" customHeight="1">
      <c r="A157" s="161"/>
      <c r="C157" s="161"/>
      <c r="D157" s="161"/>
      <c r="E157" s="161"/>
      <c r="F157" s="161"/>
      <c r="G157" s="161"/>
      <c r="H157" s="161"/>
      <c r="J157"/>
      <c r="K157"/>
    </row>
    <row r="158" spans="1:11" ht="13.5" customHeight="1">
      <c r="A158" s="9" t="s">
        <v>84</v>
      </c>
      <c r="B158" s="161"/>
      <c r="C158" s="161"/>
      <c r="D158" s="161"/>
      <c r="E158" s="161"/>
      <c r="F158" s="161"/>
      <c r="G158" s="8"/>
      <c r="H158" s="8"/>
      <c r="J158"/>
      <c r="K158"/>
    </row>
    <row r="159" spans="1:11" ht="13.5" customHeight="1">
      <c r="A159" s="9"/>
      <c r="B159" s="161"/>
      <c r="C159" s="161"/>
      <c r="D159" s="161"/>
      <c r="E159" s="161"/>
      <c r="F159" s="161"/>
      <c r="G159" s="8"/>
      <c r="H159" s="8"/>
      <c r="J159"/>
      <c r="K159"/>
    </row>
    <row r="160" spans="1:11" ht="13.5" customHeight="1">
      <c r="A160" s="26" t="s">
        <v>113</v>
      </c>
      <c r="B160" s="8"/>
      <c r="C160" s="8"/>
      <c r="D160" s="8"/>
      <c r="E160" s="8"/>
      <c r="F160" s="8"/>
      <c r="G160" s="8"/>
      <c r="H160" s="8"/>
      <c r="J160"/>
      <c r="K160"/>
    </row>
    <row r="161" spans="1:11" ht="13.5" customHeight="1">
      <c r="A161" s="26"/>
      <c r="B161" s="8"/>
      <c r="C161" s="8"/>
      <c r="D161" s="8"/>
      <c r="E161" s="8"/>
      <c r="F161" s="8"/>
      <c r="G161" s="8"/>
      <c r="H161" s="8"/>
    </row>
    <row r="162" spans="1:11" ht="13.5" customHeight="1">
      <c r="A162" s="26"/>
      <c r="B162" s="8"/>
      <c r="C162" s="8"/>
      <c r="D162" s="8"/>
      <c r="E162" s="8"/>
      <c r="F162" s="8"/>
      <c r="G162" s="8"/>
      <c r="H162" s="8"/>
    </row>
    <row r="163" spans="1:11" ht="13.5" customHeight="1">
      <c r="A163" s="24" t="s">
        <v>199</v>
      </c>
      <c r="B163" s="94"/>
      <c r="C163" s="94"/>
      <c r="D163" s="94"/>
      <c r="E163" s="94"/>
      <c r="F163" s="162"/>
      <c r="G163" s="94"/>
      <c r="H163" s="96"/>
    </row>
    <row r="164" spans="1:11" ht="13.5" customHeight="1">
      <c r="A164" s="13" t="s">
        <v>1</v>
      </c>
      <c r="B164" s="13"/>
      <c r="C164" s="13"/>
      <c r="D164" s="13"/>
      <c r="E164" s="13"/>
      <c r="F164" s="13"/>
      <c r="G164" s="13"/>
      <c r="H164" s="160"/>
    </row>
    <row r="165" spans="1:11" ht="13.5" customHeight="1">
      <c r="A165" s="13"/>
      <c r="B165" s="13"/>
      <c r="C165" s="13"/>
      <c r="D165" s="13"/>
      <c r="E165" s="13"/>
      <c r="F165" s="13"/>
      <c r="G165" s="13"/>
      <c r="H165" s="25"/>
    </row>
    <row r="166" spans="1:11" ht="13.5" customHeight="1">
      <c r="A166" s="31"/>
      <c r="B166" s="31"/>
      <c r="C166" s="33"/>
      <c r="D166" s="33"/>
      <c r="E166" s="33"/>
      <c r="F166" s="33"/>
      <c r="G166" s="33"/>
      <c r="H166" s="34" t="s">
        <v>83</v>
      </c>
      <c r="J166" s="170" t="s">
        <v>126</v>
      </c>
    </row>
    <row r="167" spans="1:11" ht="13.5" customHeight="1">
      <c r="A167" s="30"/>
      <c r="B167" s="38" t="s">
        <v>2</v>
      </c>
      <c r="C167" s="31">
        <v>0</v>
      </c>
      <c r="D167" s="31">
        <v>1</v>
      </c>
      <c r="E167" s="31">
        <v>2</v>
      </c>
      <c r="F167" s="38" t="s">
        <v>3</v>
      </c>
      <c r="G167" s="38" t="s">
        <v>4</v>
      </c>
      <c r="H167" s="38" t="s">
        <v>64</v>
      </c>
    </row>
    <row r="168" spans="1:11" ht="13.5" customHeight="1">
      <c r="A168" s="37" t="s">
        <v>145</v>
      </c>
      <c r="B168" s="36">
        <f>SUM(B170:B173)</f>
        <v>9021</v>
      </c>
      <c r="C168" s="36">
        <f t="shared" ref="C168:H168" si="4">SUM(C170:C173)</f>
        <v>163</v>
      </c>
      <c r="D168" s="36">
        <f t="shared" si="4"/>
        <v>2521</v>
      </c>
      <c r="E168" s="36">
        <f t="shared" si="4"/>
        <v>590</v>
      </c>
      <c r="F168" s="36">
        <f t="shared" si="4"/>
        <v>1110</v>
      </c>
      <c r="G168" s="36">
        <f t="shared" si="4"/>
        <v>1281</v>
      </c>
      <c r="H168" s="36">
        <f t="shared" si="4"/>
        <v>3356</v>
      </c>
    </row>
    <row r="169" spans="1:11" ht="13.5" customHeight="1">
      <c r="A169" s="37" t="s">
        <v>5</v>
      </c>
      <c r="B169" s="36"/>
      <c r="C169" s="36"/>
      <c r="D169" s="36"/>
      <c r="E169" s="36"/>
      <c r="F169" s="36"/>
      <c r="G169" s="36"/>
      <c r="H169" s="36"/>
    </row>
    <row r="170" spans="1:11" ht="13.5" customHeight="1">
      <c r="A170" s="9" t="s">
        <v>6</v>
      </c>
      <c r="B170" s="8">
        <v>2173</v>
      </c>
      <c r="C170" s="8">
        <v>0</v>
      </c>
      <c r="D170" s="8">
        <v>2173</v>
      </c>
      <c r="E170" s="8">
        <v>0</v>
      </c>
      <c r="F170" s="8">
        <v>0</v>
      </c>
      <c r="G170" s="8">
        <v>0</v>
      </c>
      <c r="H170" s="8">
        <v>0</v>
      </c>
    </row>
    <row r="171" spans="1:11" ht="13.5" customHeight="1">
      <c r="A171" s="9" t="s">
        <v>7</v>
      </c>
      <c r="B171" s="8">
        <v>4159</v>
      </c>
      <c r="C171" s="8">
        <v>0</v>
      </c>
      <c r="D171" s="8">
        <v>0</v>
      </c>
      <c r="E171" s="8">
        <v>452</v>
      </c>
      <c r="F171" s="8">
        <v>763</v>
      </c>
      <c r="G171" s="8">
        <v>809</v>
      </c>
      <c r="H171" s="8">
        <v>2135</v>
      </c>
    </row>
    <row r="172" spans="1:11" ht="13.5" customHeight="1">
      <c r="A172" s="9" t="s">
        <v>8</v>
      </c>
      <c r="B172" s="8">
        <v>2164</v>
      </c>
      <c r="C172" s="8">
        <v>0</v>
      </c>
      <c r="D172" s="8">
        <v>120</v>
      </c>
      <c r="E172" s="8">
        <v>92</v>
      </c>
      <c r="F172" s="8">
        <v>303</v>
      </c>
      <c r="G172" s="8">
        <v>449</v>
      </c>
      <c r="H172" s="8">
        <v>1200</v>
      </c>
    </row>
    <row r="173" spans="1:11" ht="13.5" customHeight="1">
      <c r="A173" s="10" t="s">
        <v>65</v>
      </c>
      <c r="B173" s="8">
        <v>525</v>
      </c>
      <c r="C173" s="8">
        <v>163</v>
      </c>
      <c r="D173" s="8">
        <v>228</v>
      </c>
      <c r="E173" s="8">
        <v>46</v>
      </c>
      <c r="F173" s="8">
        <v>44</v>
      </c>
      <c r="G173" s="8">
        <v>23</v>
      </c>
      <c r="H173" s="8">
        <v>21</v>
      </c>
    </row>
    <row r="174" spans="1:11" ht="13.5" customHeight="1">
      <c r="A174" s="37" t="s">
        <v>9</v>
      </c>
      <c r="B174" s="36"/>
      <c r="C174" s="36"/>
      <c r="D174" s="36"/>
      <c r="E174" s="36"/>
      <c r="F174" s="36"/>
      <c r="G174" s="36"/>
      <c r="H174" s="36"/>
    </row>
    <row r="175" spans="1:11" ht="13.5" customHeight="1">
      <c r="A175" s="9" t="s">
        <v>10</v>
      </c>
      <c r="B175" s="8">
        <v>2161</v>
      </c>
      <c r="C175" s="8">
        <v>78</v>
      </c>
      <c r="D175" s="8">
        <v>474</v>
      </c>
      <c r="E175" s="8">
        <v>190</v>
      </c>
      <c r="F175" s="8">
        <v>551</v>
      </c>
      <c r="G175" s="8">
        <v>369</v>
      </c>
      <c r="H175" s="8">
        <v>499</v>
      </c>
    </row>
    <row r="176" spans="1:11" s="7" customFormat="1" ht="13.5" customHeight="1">
      <c r="A176" s="9" t="s">
        <v>11</v>
      </c>
      <c r="B176" s="8">
        <v>1991</v>
      </c>
      <c r="C176" s="8">
        <v>18</v>
      </c>
      <c r="D176" s="8">
        <v>565</v>
      </c>
      <c r="E176" s="8">
        <v>136</v>
      </c>
      <c r="F176" s="8">
        <v>252</v>
      </c>
      <c r="G176" s="8">
        <v>366</v>
      </c>
      <c r="H176" s="8">
        <v>654</v>
      </c>
      <c r="I176" s="12"/>
      <c r="J176" s="12"/>
      <c r="K176" s="12"/>
    </row>
    <row r="177" spans="1:11" ht="13.5" customHeight="1">
      <c r="A177" s="9" t="s">
        <v>12</v>
      </c>
      <c r="B177" s="8">
        <v>1582</v>
      </c>
      <c r="C177" s="8">
        <v>11</v>
      </c>
      <c r="D177" s="8">
        <v>391</v>
      </c>
      <c r="E177" s="8">
        <v>85</v>
      </c>
      <c r="F177" s="8">
        <v>85</v>
      </c>
      <c r="G177" s="8">
        <v>167</v>
      </c>
      <c r="H177" s="8">
        <v>843</v>
      </c>
    </row>
    <row r="178" spans="1:11" ht="13.5" customHeight="1">
      <c r="A178" s="9" t="s">
        <v>13</v>
      </c>
      <c r="B178" s="8">
        <v>827</v>
      </c>
      <c r="C178" s="8">
        <v>13</v>
      </c>
      <c r="D178" s="8">
        <v>149</v>
      </c>
      <c r="E178" s="8">
        <v>28</v>
      </c>
      <c r="F178" s="8">
        <v>54</v>
      </c>
      <c r="G178" s="8">
        <v>52</v>
      </c>
      <c r="H178" s="8">
        <v>531</v>
      </c>
    </row>
    <row r="179" spans="1:11" s="35" customFormat="1" ht="13.5" customHeight="1">
      <c r="A179" s="9" t="s">
        <v>14</v>
      </c>
      <c r="B179" s="8">
        <v>475</v>
      </c>
      <c r="C179" s="8">
        <v>9</v>
      </c>
      <c r="D179" s="8">
        <v>131</v>
      </c>
      <c r="E179" s="8">
        <v>19</v>
      </c>
      <c r="F179" s="8">
        <v>18</v>
      </c>
      <c r="G179" s="8">
        <v>60</v>
      </c>
      <c r="H179" s="8">
        <v>238</v>
      </c>
      <c r="I179" s="12"/>
      <c r="J179" s="12"/>
      <c r="K179" s="12"/>
    </row>
    <row r="180" spans="1:11" ht="13.5" customHeight="1">
      <c r="A180" s="9" t="s">
        <v>15</v>
      </c>
      <c r="B180" s="8">
        <v>253</v>
      </c>
      <c r="C180" s="8">
        <v>3</v>
      </c>
      <c r="D180" s="8">
        <v>110</v>
      </c>
      <c r="E180" s="8">
        <v>21</v>
      </c>
      <c r="F180" s="8">
        <v>4</v>
      </c>
      <c r="G180" s="8">
        <v>32</v>
      </c>
      <c r="H180" s="8">
        <v>83</v>
      </c>
    </row>
    <row r="181" spans="1:11" ht="13.5" customHeight="1">
      <c r="A181" s="9" t="s">
        <v>16</v>
      </c>
      <c r="B181" s="8">
        <v>286</v>
      </c>
      <c r="C181" s="8">
        <v>6</v>
      </c>
      <c r="D181" s="8">
        <v>129</v>
      </c>
      <c r="E181" s="8">
        <v>6</v>
      </c>
      <c r="F181" s="8">
        <v>8</v>
      </c>
      <c r="G181" s="8">
        <v>62</v>
      </c>
      <c r="H181" s="8">
        <v>75</v>
      </c>
    </row>
    <row r="182" spans="1:11" ht="13.5" customHeight="1">
      <c r="A182" s="9" t="s">
        <v>17</v>
      </c>
      <c r="B182" s="8">
        <v>179</v>
      </c>
      <c r="C182" s="8">
        <v>6</v>
      </c>
      <c r="D182" s="8">
        <v>91</v>
      </c>
      <c r="E182" s="8">
        <v>8</v>
      </c>
      <c r="F182" s="8">
        <v>8</v>
      </c>
      <c r="G182" s="8">
        <v>28</v>
      </c>
      <c r="H182" s="8">
        <v>38</v>
      </c>
    </row>
    <row r="183" spans="1:11" ht="13.5" customHeight="1">
      <c r="A183" s="9" t="s">
        <v>18</v>
      </c>
      <c r="B183" s="8">
        <v>194</v>
      </c>
      <c r="C183" s="8"/>
      <c r="D183" s="8">
        <v>115</v>
      </c>
      <c r="E183" s="8">
        <v>8</v>
      </c>
      <c r="F183" s="8">
        <v>15</v>
      </c>
      <c r="G183" s="8">
        <v>10</v>
      </c>
      <c r="H183" s="8">
        <v>46</v>
      </c>
    </row>
    <row r="184" spans="1:11" ht="13.5" customHeight="1">
      <c r="A184" s="9" t="s">
        <v>19</v>
      </c>
      <c r="B184" s="8">
        <v>187</v>
      </c>
      <c r="C184" s="8">
        <v>2</v>
      </c>
      <c r="D184" s="8">
        <v>92</v>
      </c>
      <c r="E184" s="8">
        <v>9</v>
      </c>
      <c r="F184" s="8">
        <v>16</v>
      </c>
      <c r="G184" s="8">
        <v>16</v>
      </c>
      <c r="H184" s="8">
        <v>52</v>
      </c>
    </row>
    <row r="185" spans="1:11" ht="13.5" customHeight="1">
      <c r="A185" s="9" t="s">
        <v>20</v>
      </c>
      <c r="B185" s="8">
        <v>379</v>
      </c>
      <c r="C185" s="8">
        <v>6</v>
      </c>
      <c r="D185" s="8">
        <v>185</v>
      </c>
      <c r="E185" s="8">
        <v>23</v>
      </c>
      <c r="F185" s="8">
        <v>33</v>
      </c>
      <c r="G185" s="8">
        <v>41</v>
      </c>
      <c r="H185" s="8">
        <v>91</v>
      </c>
    </row>
    <row r="186" spans="1:11" ht="13.5" customHeight="1">
      <c r="A186" s="9" t="s">
        <v>21</v>
      </c>
      <c r="B186" s="8">
        <v>265</v>
      </c>
      <c r="C186" s="8">
        <v>6</v>
      </c>
      <c r="D186" s="8">
        <v>66</v>
      </c>
      <c r="E186" s="8">
        <v>34</v>
      </c>
      <c r="F186" s="8">
        <v>38</v>
      </c>
      <c r="G186" s="8">
        <v>32</v>
      </c>
      <c r="H186" s="8">
        <v>89</v>
      </c>
    </row>
    <row r="187" spans="1:11" ht="13.5" customHeight="1">
      <c r="A187" s="9" t="s">
        <v>112</v>
      </c>
      <c r="B187" s="8">
        <v>242</v>
      </c>
      <c r="C187" s="8">
        <v>5</v>
      </c>
      <c r="D187" s="8">
        <v>23</v>
      </c>
      <c r="E187" s="8">
        <v>23</v>
      </c>
      <c r="F187" s="8">
        <v>28</v>
      </c>
      <c r="G187" s="8">
        <v>46</v>
      </c>
      <c r="H187" s="8">
        <v>117</v>
      </c>
    </row>
    <row r="188" spans="1:11" ht="13.5" customHeight="1">
      <c r="A188" s="37" t="s">
        <v>22</v>
      </c>
      <c r="B188" s="36"/>
      <c r="C188" s="36"/>
      <c r="D188" s="36"/>
      <c r="E188" s="36"/>
      <c r="F188" s="36"/>
      <c r="G188" s="36"/>
      <c r="H188" s="36"/>
    </row>
    <row r="189" spans="1:11" ht="13.5" customHeight="1">
      <c r="A189" s="9" t="s">
        <v>23</v>
      </c>
      <c r="B189" s="8">
        <v>111</v>
      </c>
      <c r="C189" s="8">
        <v>9</v>
      </c>
      <c r="D189" s="8">
        <v>94</v>
      </c>
      <c r="E189" s="8">
        <v>6</v>
      </c>
      <c r="F189" s="8">
        <v>1</v>
      </c>
      <c r="G189" s="8">
        <v>0</v>
      </c>
      <c r="H189" s="8">
        <v>1</v>
      </c>
      <c r="J189"/>
    </row>
    <row r="190" spans="1:11" ht="13.5" customHeight="1">
      <c r="A190" s="9" t="s">
        <v>24</v>
      </c>
      <c r="B190" s="8">
        <v>1458</v>
      </c>
      <c r="C190" s="8">
        <v>61</v>
      </c>
      <c r="D190" s="8">
        <v>1133</v>
      </c>
      <c r="E190" s="8">
        <v>181</v>
      </c>
      <c r="F190" s="8">
        <v>69</v>
      </c>
      <c r="G190" s="8">
        <v>9</v>
      </c>
      <c r="H190" s="8">
        <v>5</v>
      </c>
      <c r="J190"/>
      <c r="K190"/>
    </row>
    <row r="191" spans="1:11" ht="13.5" customHeight="1">
      <c r="A191" s="9" t="s">
        <v>25</v>
      </c>
      <c r="B191" s="8">
        <v>2021</v>
      </c>
      <c r="C191" s="8">
        <v>19</v>
      </c>
      <c r="D191" s="8">
        <v>1077</v>
      </c>
      <c r="E191" s="8">
        <v>288</v>
      </c>
      <c r="F191" s="8">
        <v>410</v>
      </c>
      <c r="G191" s="8">
        <v>178</v>
      </c>
      <c r="H191" s="8">
        <v>49</v>
      </c>
      <c r="J191"/>
      <c r="K191"/>
    </row>
    <row r="192" spans="1:11" ht="13.5" customHeight="1">
      <c r="A192" s="9" t="s">
        <v>26</v>
      </c>
      <c r="B192" s="8">
        <v>1473</v>
      </c>
      <c r="C192" s="8">
        <v>25</v>
      </c>
      <c r="D192" s="8">
        <v>120</v>
      </c>
      <c r="E192" s="8">
        <v>66</v>
      </c>
      <c r="F192" s="8">
        <v>345</v>
      </c>
      <c r="G192" s="8">
        <v>498</v>
      </c>
      <c r="H192" s="8">
        <v>419</v>
      </c>
      <c r="J192"/>
      <c r="K192"/>
    </row>
    <row r="193" spans="1:11" ht="13.5" customHeight="1">
      <c r="A193" s="9" t="s">
        <v>27</v>
      </c>
      <c r="B193" s="8">
        <v>1659</v>
      </c>
      <c r="C193" s="8">
        <v>21</v>
      </c>
      <c r="D193" s="8">
        <v>39</v>
      </c>
      <c r="E193" s="8">
        <v>23</v>
      </c>
      <c r="F193" s="8">
        <v>170</v>
      </c>
      <c r="G193" s="8">
        <v>393</v>
      </c>
      <c r="H193" s="8">
        <v>1013</v>
      </c>
      <c r="J193"/>
      <c r="K193"/>
    </row>
    <row r="194" spans="1:11" ht="13.5" customHeight="1">
      <c r="A194" s="9" t="s">
        <v>28</v>
      </c>
      <c r="B194" s="8">
        <v>1101</v>
      </c>
      <c r="C194" s="8">
        <v>16</v>
      </c>
      <c r="D194" s="8">
        <v>21</v>
      </c>
      <c r="E194" s="8">
        <v>17</v>
      </c>
      <c r="F194" s="8">
        <v>72</v>
      </c>
      <c r="G194" s="8">
        <v>131</v>
      </c>
      <c r="H194" s="8">
        <v>844</v>
      </c>
      <c r="J194"/>
      <c r="K194"/>
    </row>
    <row r="195" spans="1:11" ht="13.5" customHeight="1">
      <c r="A195" s="9" t="s">
        <v>29</v>
      </c>
      <c r="B195" s="8">
        <v>698</v>
      </c>
      <c r="C195" s="8">
        <v>7</v>
      </c>
      <c r="D195" s="8">
        <v>24</v>
      </c>
      <c r="E195" s="8">
        <v>6</v>
      </c>
      <c r="F195" s="8">
        <v>33</v>
      </c>
      <c r="G195" s="8">
        <v>44</v>
      </c>
      <c r="H195" s="8">
        <v>584</v>
      </c>
      <c r="J195"/>
      <c r="K195"/>
    </row>
    <row r="196" spans="1:11" ht="13.5" customHeight="1">
      <c r="A196" s="9" t="s">
        <v>30</v>
      </c>
      <c r="B196" s="8">
        <v>500</v>
      </c>
      <c r="C196" s="8">
        <v>5</v>
      </c>
      <c r="D196" s="8">
        <v>13</v>
      </c>
      <c r="E196" s="8">
        <v>3</v>
      </c>
      <c r="F196" s="8">
        <v>10</v>
      </c>
      <c r="G196" s="8">
        <v>28</v>
      </c>
      <c r="H196" s="8">
        <v>441</v>
      </c>
      <c r="J196"/>
      <c r="K196"/>
    </row>
    <row r="197" spans="1:11" ht="13.5" customHeight="1">
      <c r="A197" s="161"/>
      <c r="C197" s="161"/>
      <c r="D197" s="161"/>
      <c r="E197" s="161"/>
      <c r="F197" s="161"/>
      <c r="G197" s="161"/>
      <c r="H197" s="161"/>
      <c r="J197"/>
      <c r="K197"/>
    </row>
    <row r="198" spans="1:11" ht="13.5" customHeight="1">
      <c r="A198" s="9" t="s">
        <v>84</v>
      </c>
      <c r="B198" s="161"/>
      <c r="C198" s="161"/>
      <c r="D198" s="161"/>
      <c r="E198" s="161"/>
      <c r="F198" s="161"/>
      <c r="G198" s="8"/>
      <c r="H198" s="8"/>
      <c r="J198"/>
      <c r="K198"/>
    </row>
    <row r="199" spans="1:11" ht="13.5" customHeight="1">
      <c r="A199" s="9"/>
      <c r="B199" s="161"/>
      <c r="C199" s="161"/>
      <c r="D199" s="161"/>
      <c r="E199" s="161"/>
      <c r="F199" s="161"/>
      <c r="G199" s="8"/>
      <c r="H199" s="8"/>
      <c r="J199"/>
      <c r="K199"/>
    </row>
    <row r="200" spans="1:11" ht="13.5" customHeight="1">
      <c r="A200" s="26" t="s">
        <v>113</v>
      </c>
      <c r="B200" s="8"/>
      <c r="C200" s="8"/>
      <c r="D200" s="8"/>
      <c r="E200" s="8"/>
      <c r="F200" s="8"/>
      <c r="G200" s="8"/>
      <c r="H200" s="8"/>
      <c r="K200"/>
    </row>
    <row r="201" spans="1:11" ht="13.5" customHeight="1">
      <c r="A201" s="26"/>
      <c r="B201" s="8"/>
      <c r="C201" s="8"/>
      <c r="D201" s="8"/>
      <c r="E201" s="8"/>
      <c r="F201" s="8"/>
      <c r="G201" s="8"/>
      <c r="H201" s="8"/>
    </row>
    <row r="202" spans="1:11" ht="13.5" customHeight="1">
      <c r="A202" s="26"/>
      <c r="B202" s="8"/>
      <c r="C202" s="8"/>
      <c r="D202" s="8"/>
      <c r="E202" s="8"/>
      <c r="F202" s="8"/>
      <c r="G202" s="8"/>
      <c r="H202" s="8"/>
    </row>
    <row r="203" spans="1:11" ht="13.5" customHeight="1">
      <c r="A203" s="24" t="s">
        <v>200</v>
      </c>
      <c r="B203" s="94"/>
      <c r="C203" s="94"/>
      <c r="D203" s="94"/>
      <c r="E203" s="94"/>
      <c r="F203" s="162"/>
      <c r="G203" s="94"/>
      <c r="H203" s="96"/>
    </row>
    <row r="204" spans="1:11" ht="13.5" customHeight="1">
      <c r="A204" s="13" t="s">
        <v>1</v>
      </c>
      <c r="B204" s="13"/>
      <c r="C204" s="13"/>
      <c r="D204" s="13"/>
      <c r="E204" s="13"/>
      <c r="F204" s="13"/>
      <c r="G204" s="13"/>
      <c r="H204" s="160"/>
    </row>
    <row r="205" spans="1:11" ht="13.5" customHeight="1">
      <c r="A205" s="13"/>
      <c r="B205" s="13"/>
      <c r="C205" s="13"/>
      <c r="D205" s="13"/>
      <c r="E205" s="13"/>
      <c r="F205" s="13"/>
      <c r="G205" s="13"/>
      <c r="H205" s="25"/>
    </row>
    <row r="206" spans="1:11" ht="13.5" customHeight="1">
      <c r="A206" s="31"/>
      <c r="B206" s="31"/>
      <c r="C206" s="33"/>
      <c r="D206" s="33"/>
      <c r="E206" s="33"/>
      <c r="F206" s="33"/>
      <c r="G206" s="33"/>
      <c r="H206" s="34" t="s">
        <v>83</v>
      </c>
      <c r="J206" s="170" t="s">
        <v>126</v>
      </c>
    </row>
    <row r="207" spans="1:11" ht="13.5" customHeight="1">
      <c r="A207" s="30"/>
      <c r="B207" s="38" t="s">
        <v>2</v>
      </c>
      <c r="C207" s="31">
        <v>0</v>
      </c>
      <c r="D207" s="31">
        <v>1</v>
      </c>
      <c r="E207" s="31">
        <v>2</v>
      </c>
      <c r="F207" s="38" t="s">
        <v>3</v>
      </c>
      <c r="G207" s="38" t="s">
        <v>4</v>
      </c>
      <c r="H207" s="38" t="s">
        <v>64</v>
      </c>
    </row>
    <row r="208" spans="1:11" ht="13.5" customHeight="1">
      <c r="A208" s="37" t="s">
        <v>145</v>
      </c>
      <c r="B208" s="36">
        <v>8995</v>
      </c>
      <c r="C208" s="36">
        <v>164</v>
      </c>
      <c r="D208" s="36">
        <v>2541</v>
      </c>
      <c r="E208" s="36">
        <v>570</v>
      </c>
      <c r="F208" s="36">
        <v>1100</v>
      </c>
      <c r="G208" s="36">
        <v>1276</v>
      </c>
      <c r="H208" s="36">
        <v>3344</v>
      </c>
    </row>
    <row r="209" spans="1:8" ht="13.5" customHeight="1">
      <c r="A209" s="37" t="s">
        <v>5</v>
      </c>
      <c r="B209" s="36"/>
      <c r="C209" s="36"/>
      <c r="D209" s="36"/>
      <c r="E209" s="36"/>
      <c r="F209" s="36"/>
      <c r="G209" s="36"/>
      <c r="H209" s="36"/>
    </row>
    <row r="210" spans="1:8" ht="13.5" customHeight="1">
      <c r="A210" s="9" t="s">
        <v>6</v>
      </c>
      <c r="B210" s="8">
        <v>2186</v>
      </c>
      <c r="C210" s="8">
        <v>0</v>
      </c>
      <c r="D210" s="8">
        <v>2186</v>
      </c>
      <c r="E210" s="8">
        <v>0</v>
      </c>
      <c r="F210" s="8">
        <v>0</v>
      </c>
      <c r="G210" s="8">
        <v>0</v>
      </c>
      <c r="H210" s="8">
        <v>0</v>
      </c>
    </row>
    <row r="211" spans="1:8" ht="13.5" customHeight="1">
      <c r="A211" s="9" t="s">
        <v>7</v>
      </c>
      <c r="B211" s="8">
        <v>4122</v>
      </c>
      <c r="C211" s="8">
        <v>0</v>
      </c>
      <c r="D211" s="8">
        <v>0</v>
      </c>
      <c r="E211" s="8">
        <v>436</v>
      </c>
      <c r="F211" s="8">
        <v>756</v>
      </c>
      <c r="G211" s="8">
        <v>802</v>
      </c>
      <c r="H211" s="8">
        <v>2128</v>
      </c>
    </row>
    <row r="212" spans="1:8" ht="13.5" customHeight="1">
      <c r="A212" s="9" t="s">
        <v>8</v>
      </c>
      <c r="B212" s="8">
        <v>2157</v>
      </c>
      <c r="C212" s="8">
        <v>0</v>
      </c>
      <c r="D212" s="8">
        <v>122</v>
      </c>
      <c r="E212" s="8">
        <v>91</v>
      </c>
      <c r="F212" s="8">
        <v>299</v>
      </c>
      <c r="G212" s="8">
        <v>451</v>
      </c>
      <c r="H212" s="8">
        <v>1194</v>
      </c>
    </row>
    <row r="213" spans="1:8" ht="13.5" customHeight="1">
      <c r="A213" s="10" t="s">
        <v>65</v>
      </c>
      <c r="B213" s="8">
        <v>530</v>
      </c>
      <c r="C213" s="8">
        <v>164</v>
      </c>
      <c r="D213" s="8">
        <v>233</v>
      </c>
      <c r="E213" s="8">
        <v>43</v>
      </c>
      <c r="F213" s="8">
        <v>45</v>
      </c>
      <c r="G213" s="8">
        <v>23</v>
      </c>
      <c r="H213" s="8">
        <v>22</v>
      </c>
    </row>
    <row r="214" spans="1:8" ht="13.5" customHeight="1">
      <c r="A214" s="37" t="s">
        <v>9</v>
      </c>
      <c r="B214" s="36"/>
      <c r="C214" s="36"/>
      <c r="D214" s="36"/>
      <c r="E214" s="36"/>
      <c r="F214" s="36"/>
      <c r="G214" s="36"/>
      <c r="H214" s="36"/>
    </row>
    <row r="215" spans="1:8" ht="13.5" customHeight="1">
      <c r="A215" s="9" t="s">
        <v>10</v>
      </c>
      <c r="B215" s="8">
        <v>2160</v>
      </c>
      <c r="C215" s="8">
        <v>77</v>
      </c>
      <c r="D215" s="8">
        <v>483</v>
      </c>
      <c r="E215" s="8">
        <v>185</v>
      </c>
      <c r="F215" s="8">
        <v>549</v>
      </c>
      <c r="G215" s="8">
        <v>371</v>
      </c>
      <c r="H215" s="8">
        <v>495</v>
      </c>
    </row>
    <row r="216" spans="1:8" ht="13.5" customHeight="1">
      <c r="A216" s="9" t="s">
        <v>11</v>
      </c>
      <c r="B216" s="8">
        <v>1998</v>
      </c>
      <c r="C216" s="8">
        <v>20</v>
      </c>
      <c r="D216" s="8">
        <v>568</v>
      </c>
      <c r="E216" s="8">
        <v>140</v>
      </c>
      <c r="F216" s="8">
        <v>249</v>
      </c>
      <c r="G216" s="8">
        <v>368</v>
      </c>
      <c r="H216" s="8">
        <v>653</v>
      </c>
    </row>
    <row r="217" spans="1:8" ht="13.5" customHeight="1">
      <c r="A217" s="9" t="s">
        <v>12</v>
      </c>
      <c r="B217" s="8">
        <v>1598</v>
      </c>
      <c r="C217" s="8">
        <v>12</v>
      </c>
      <c r="D217" s="8">
        <v>398</v>
      </c>
      <c r="E217" s="8">
        <v>82</v>
      </c>
      <c r="F217" s="8">
        <v>86</v>
      </c>
      <c r="G217" s="8">
        <v>171</v>
      </c>
      <c r="H217" s="8">
        <v>849</v>
      </c>
    </row>
    <row r="218" spans="1:8" ht="13.5" customHeight="1">
      <c r="A218" s="9" t="s">
        <v>13</v>
      </c>
      <c r="B218" s="8">
        <v>829</v>
      </c>
      <c r="C218" s="8">
        <v>16</v>
      </c>
      <c r="D218" s="8">
        <v>152</v>
      </c>
      <c r="E218" s="8">
        <v>26</v>
      </c>
      <c r="F218" s="8">
        <v>54</v>
      </c>
      <c r="G218" s="8">
        <v>52</v>
      </c>
      <c r="H218" s="8">
        <v>529</v>
      </c>
    </row>
    <row r="219" spans="1:8" ht="13.5" customHeight="1">
      <c r="A219" s="9" t="s">
        <v>14</v>
      </c>
      <c r="B219" s="8">
        <v>474</v>
      </c>
      <c r="C219" s="8">
        <v>8</v>
      </c>
      <c r="D219" s="8">
        <v>131</v>
      </c>
      <c r="E219" s="8">
        <v>19</v>
      </c>
      <c r="F219" s="8">
        <v>18</v>
      </c>
      <c r="G219" s="8">
        <v>61</v>
      </c>
      <c r="H219" s="8">
        <v>237</v>
      </c>
    </row>
    <row r="220" spans="1:8" ht="13.5" customHeight="1">
      <c r="A220" s="9" t="s">
        <v>15</v>
      </c>
      <c r="B220" s="8">
        <v>252</v>
      </c>
      <c r="C220" s="8">
        <v>3</v>
      </c>
      <c r="D220" s="8">
        <v>110</v>
      </c>
      <c r="E220" s="8">
        <v>20</v>
      </c>
      <c r="F220" s="8">
        <v>4</v>
      </c>
      <c r="G220" s="8">
        <v>32</v>
      </c>
      <c r="H220" s="8">
        <v>83</v>
      </c>
    </row>
    <row r="221" spans="1:8" ht="13.5" customHeight="1">
      <c r="A221" s="9" t="s">
        <v>16</v>
      </c>
      <c r="B221" s="8">
        <v>285</v>
      </c>
      <c r="C221" s="8">
        <v>5</v>
      </c>
      <c r="D221" s="8">
        <v>129</v>
      </c>
      <c r="E221" s="8">
        <v>6</v>
      </c>
      <c r="F221" s="8">
        <v>8</v>
      </c>
      <c r="G221" s="8">
        <v>62</v>
      </c>
      <c r="H221" s="8">
        <v>75</v>
      </c>
    </row>
    <row r="222" spans="1:8" ht="13.5" customHeight="1">
      <c r="A222" s="9" t="s">
        <v>17</v>
      </c>
      <c r="B222" s="8">
        <v>179</v>
      </c>
      <c r="C222" s="8">
        <v>6</v>
      </c>
      <c r="D222" s="8">
        <v>91</v>
      </c>
      <c r="E222" s="8">
        <v>9</v>
      </c>
      <c r="F222" s="8">
        <v>7</v>
      </c>
      <c r="G222" s="8">
        <v>29</v>
      </c>
      <c r="H222" s="8">
        <v>37</v>
      </c>
    </row>
    <row r="223" spans="1:8" ht="13.5" customHeight="1">
      <c r="A223" s="9" t="s">
        <v>18</v>
      </c>
      <c r="B223" s="8">
        <v>194</v>
      </c>
      <c r="C223" s="8">
        <v>0</v>
      </c>
      <c r="D223" s="8">
        <v>115</v>
      </c>
      <c r="E223" s="8">
        <v>8</v>
      </c>
      <c r="F223" s="8">
        <v>15</v>
      </c>
      <c r="G223" s="8">
        <v>10</v>
      </c>
      <c r="H223" s="8">
        <v>46</v>
      </c>
    </row>
    <row r="224" spans="1:8" ht="13.5" customHeight="1">
      <c r="A224" s="9" t="s">
        <v>19</v>
      </c>
      <c r="B224" s="8">
        <v>187</v>
      </c>
      <c r="C224" s="8">
        <v>2</v>
      </c>
      <c r="D224" s="8">
        <v>92</v>
      </c>
      <c r="E224" s="8">
        <v>9</v>
      </c>
      <c r="F224" s="8">
        <v>16</v>
      </c>
      <c r="G224" s="8">
        <v>16</v>
      </c>
      <c r="H224" s="8">
        <v>52</v>
      </c>
    </row>
    <row r="225" spans="1:10" ht="13.5" customHeight="1">
      <c r="A225" s="9" t="s">
        <v>20</v>
      </c>
      <c r="B225" s="8">
        <v>378</v>
      </c>
      <c r="C225" s="8">
        <v>5</v>
      </c>
      <c r="D225" s="8">
        <v>186</v>
      </c>
      <c r="E225" s="8">
        <v>22</v>
      </c>
      <c r="F225" s="8">
        <v>33</v>
      </c>
      <c r="G225" s="8">
        <v>41</v>
      </c>
      <c r="H225" s="8">
        <v>91</v>
      </c>
    </row>
    <row r="226" spans="1:10" ht="13.5" customHeight="1">
      <c r="A226" s="9" t="s">
        <v>21</v>
      </c>
      <c r="B226" s="8">
        <v>265</v>
      </c>
      <c r="C226" s="8">
        <v>6</v>
      </c>
      <c r="D226" s="8">
        <v>66</v>
      </c>
      <c r="E226" s="8">
        <v>34</v>
      </c>
      <c r="F226" s="8">
        <v>38</v>
      </c>
      <c r="G226" s="8">
        <v>32</v>
      </c>
      <c r="H226" s="8">
        <v>89</v>
      </c>
    </row>
    <row r="227" spans="1:10" ht="13.5" customHeight="1">
      <c r="A227" s="9" t="s">
        <v>112</v>
      </c>
      <c r="B227" s="8">
        <v>196</v>
      </c>
      <c r="C227" s="8">
        <v>4</v>
      </c>
      <c r="D227" s="8">
        <v>20</v>
      </c>
      <c r="E227" s="8">
        <v>10</v>
      </c>
      <c r="F227" s="8">
        <v>23</v>
      </c>
      <c r="G227" s="8">
        <v>31</v>
      </c>
      <c r="H227" s="8">
        <v>108</v>
      </c>
    </row>
    <row r="228" spans="1:10" ht="13.5" customHeight="1">
      <c r="A228" s="37" t="s">
        <v>22</v>
      </c>
      <c r="B228" s="36"/>
      <c r="C228" s="36"/>
      <c r="D228" s="36"/>
      <c r="E228" s="36"/>
      <c r="F228" s="36"/>
      <c r="G228" s="36"/>
      <c r="H228" s="36"/>
    </row>
    <row r="229" spans="1:10" ht="13.5" customHeight="1">
      <c r="A229" s="9" t="s">
        <v>23</v>
      </c>
      <c r="B229" s="8">
        <v>111</v>
      </c>
      <c r="C229" s="8">
        <v>9</v>
      </c>
      <c r="D229" s="8">
        <v>95</v>
      </c>
      <c r="E229" s="8">
        <v>5</v>
      </c>
      <c r="F229" s="8">
        <v>1</v>
      </c>
      <c r="G229" s="8"/>
      <c r="H229" s="8">
        <v>1</v>
      </c>
    </row>
    <row r="230" spans="1:10" ht="13.5" customHeight="1">
      <c r="A230" s="9" t="s">
        <v>24</v>
      </c>
      <c r="B230" s="8">
        <v>1461</v>
      </c>
      <c r="C230" s="8">
        <v>64</v>
      </c>
      <c r="D230" s="8">
        <v>1139</v>
      </c>
      <c r="E230" s="8">
        <v>176</v>
      </c>
      <c r="F230" s="8">
        <v>67</v>
      </c>
      <c r="G230" s="8">
        <v>10</v>
      </c>
      <c r="H230" s="8">
        <v>5</v>
      </c>
    </row>
    <row r="231" spans="1:10" ht="13.5" customHeight="1">
      <c r="A231" s="9" t="s">
        <v>25</v>
      </c>
      <c r="B231" s="8">
        <v>1992</v>
      </c>
      <c r="C231" s="8">
        <v>21</v>
      </c>
      <c r="D231" s="8">
        <v>1085</v>
      </c>
      <c r="E231" s="8">
        <v>274</v>
      </c>
      <c r="F231" s="8">
        <v>401</v>
      </c>
      <c r="G231" s="8">
        <v>166</v>
      </c>
      <c r="H231" s="8">
        <v>45</v>
      </c>
    </row>
    <row r="232" spans="1:10" ht="13.5" customHeight="1">
      <c r="A232" s="9" t="s">
        <v>26</v>
      </c>
      <c r="B232" s="8">
        <v>1480</v>
      </c>
      <c r="C232" s="8">
        <v>26</v>
      </c>
      <c r="D232" s="8">
        <v>124</v>
      </c>
      <c r="E232" s="8">
        <v>66</v>
      </c>
      <c r="F232" s="8">
        <v>346</v>
      </c>
      <c r="G232" s="8">
        <v>498</v>
      </c>
      <c r="H232" s="8">
        <v>420</v>
      </c>
    </row>
    <row r="233" spans="1:10" ht="13.5" customHeight="1">
      <c r="A233" s="9" t="s">
        <v>27</v>
      </c>
      <c r="B233" s="8">
        <v>1673</v>
      </c>
      <c r="C233" s="8">
        <v>18</v>
      </c>
      <c r="D233" s="8">
        <v>39</v>
      </c>
      <c r="E233" s="8">
        <v>23</v>
      </c>
      <c r="F233" s="8">
        <v>171</v>
      </c>
      <c r="G233" s="8">
        <v>399</v>
      </c>
      <c r="H233" s="8">
        <v>1023</v>
      </c>
    </row>
    <row r="234" spans="1:10" ht="13.5" customHeight="1">
      <c r="A234" s="9" t="s">
        <v>28</v>
      </c>
      <c r="B234" s="8">
        <v>1084</v>
      </c>
      <c r="C234" s="8">
        <v>15</v>
      </c>
      <c r="D234" s="8">
        <v>21</v>
      </c>
      <c r="E234" s="8">
        <v>17</v>
      </c>
      <c r="F234" s="8">
        <v>71</v>
      </c>
      <c r="G234" s="8">
        <v>128</v>
      </c>
      <c r="H234" s="8">
        <v>832</v>
      </c>
    </row>
    <row r="235" spans="1:10" ht="13.5" customHeight="1">
      <c r="A235" s="9" t="s">
        <v>29</v>
      </c>
      <c r="B235" s="8">
        <v>692</v>
      </c>
      <c r="C235" s="8">
        <v>6</v>
      </c>
      <c r="D235" s="8">
        <v>24</v>
      </c>
      <c r="E235" s="8">
        <v>6</v>
      </c>
      <c r="F235" s="8">
        <v>33</v>
      </c>
      <c r="G235" s="8">
        <v>47</v>
      </c>
      <c r="H235" s="8">
        <v>576</v>
      </c>
    </row>
    <row r="236" spans="1:10" ht="13.5" customHeight="1">
      <c r="A236" s="9" t="s">
        <v>30</v>
      </c>
      <c r="B236" s="8">
        <v>502</v>
      </c>
      <c r="C236" s="8">
        <v>5</v>
      </c>
      <c r="D236" s="8">
        <v>14</v>
      </c>
      <c r="E236" s="8">
        <v>3</v>
      </c>
      <c r="F236" s="8">
        <v>10</v>
      </c>
      <c r="G236" s="8">
        <v>28</v>
      </c>
      <c r="H236" s="8">
        <v>442</v>
      </c>
    </row>
    <row r="237" spans="1:10" ht="13.5" customHeight="1">
      <c r="A237" s="161"/>
      <c r="C237" s="161"/>
      <c r="D237" s="161"/>
      <c r="E237" s="161"/>
      <c r="F237" s="161"/>
      <c r="G237" s="161"/>
      <c r="H237" s="161"/>
    </row>
    <row r="238" spans="1:10" ht="13.5" customHeight="1">
      <c r="A238" s="9" t="s">
        <v>84</v>
      </c>
      <c r="B238" s="161"/>
      <c r="C238" s="161"/>
      <c r="D238" s="161"/>
      <c r="E238" s="161"/>
      <c r="F238" s="161"/>
      <c r="G238" s="8"/>
      <c r="H238" s="8"/>
      <c r="J238" s="172"/>
    </row>
    <row r="239" spans="1:10" ht="13.5" customHeight="1">
      <c r="A239" s="9"/>
      <c r="B239" s="161"/>
      <c r="C239" s="161"/>
      <c r="D239" s="161"/>
      <c r="E239" s="161"/>
      <c r="F239" s="161"/>
      <c r="G239" s="8"/>
      <c r="H239" s="8"/>
    </row>
    <row r="240" spans="1:10" ht="13.5" customHeight="1">
      <c r="A240" s="26" t="s">
        <v>113</v>
      </c>
      <c r="B240" s="8"/>
      <c r="C240" s="8"/>
      <c r="D240" s="8"/>
      <c r="E240" s="8"/>
      <c r="F240" s="8"/>
      <c r="G240" s="8"/>
      <c r="H240" s="8"/>
    </row>
    <row r="241" spans="1:10" ht="13.5" customHeight="1">
      <c r="A241" s="26"/>
      <c r="B241" s="8"/>
      <c r="C241" s="8"/>
      <c r="D241" s="8"/>
      <c r="E241" s="8"/>
      <c r="F241" s="8"/>
      <c r="G241" s="8"/>
      <c r="H241" s="8"/>
    </row>
    <row r="242" spans="1:10" ht="13.5" customHeight="1">
      <c r="A242" s="26"/>
      <c r="B242" s="8"/>
      <c r="C242" s="8"/>
      <c r="D242" s="8"/>
      <c r="E242" s="8"/>
      <c r="F242" s="8"/>
      <c r="G242" s="8"/>
      <c r="H242" s="8"/>
    </row>
    <row r="243" spans="1:10" ht="13.5" customHeight="1">
      <c r="A243" s="24" t="s">
        <v>201</v>
      </c>
      <c r="B243" s="94"/>
      <c r="C243" s="94"/>
      <c r="D243" s="94"/>
      <c r="E243" s="94"/>
      <c r="F243" s="162"/>
      <c r="G243" s="94"/>
      <c r="H243" s="96"/>
    </row>
    <row r="244" spans="1:10" ht="13.5" customHeight="1">
      <c r="A244" s="13" t="s">
        <v>1</v>
      </c>
      <c r="B244" s="13"/>
      <c r="C244" s="13"/>
      <c r="D244" s="13"/>
      <c r="E244" s="13"/>
      <c r="F244" s="13"/>
      <c r="G244" s="13"/>
      <c r="H244" s="160"/>
    </row>
    <row r="245" spans="1:10" ht="13.5" customHeight="1">
      <c r="A245" s="13"/>
      <c r="B245" s="13"/>
      <c r="C245" s="13"/>
      <c r="D245" s="13"/>
      <c r="E245" s="13"/>
      <c r="F245" s="13"/>
      <c r="G245" s="13"/>
      <c r="H245" s="25"/>
    </row>
    <row r="246" spans="1:10" ht="13.5" customHeight="1">
      <c r="A246" s="31"/>
      <c r="B246" s="31"/>
      <c r="C246" s="33"/>
      <c r="D246" s="33"/>
      <c r="E246" s="33"/>
      <c r="F246" s="33"/>
      <c r="G246" s="33"/>
      <c r="H246" s="34" t="s">
        <v>83</v>
      </c>
      <c r="J246" s="170" t="s">
        <v>126</v>
      </c>
    </row>
    <row r="247" spans="1:10" ht="13.5" customHeight="1">
      <c r="A247" s="30"/>
      <c r="B247" s="38" t="s">
        <v>2</v>
      </c>
      <c r="C247" s="31">
        <v>0</v>
      </c>
      <c r="D247" s="31">
        <v>1</v>
      </c>
      <c r="E247" s="31">
        <v>2</v>
      </c>
      <c r="F247" s="38" t="s">
        <v>3</v>
      </c>
      <c r="G247" s="38" t="s">
        <v>4</v>
      </c>
      <c r="H247" s="38" t="s">
        <v>64</v>
      </c>
    </row>
    <row r="248" spans="1:10" ht="13.5" customHeight="1">
      <c r="A248" s="37" t="s">
        <v>145</v>
      </c>
      <c r="B248" s="36">
        <v>8978</v>
      </c>
      <c r="C248" s="36">
        <v>166</v>
      </c>
      <c r="D248" s="36">
        <v>2547</v>
      </c>
      <c r="E248" s="36">
        <v>572</v>
      </c>
      <c r="F248" s="36">
        <v>1093</v>
      </c>
      <c r="G248" s="36">
        <v>1283</v>
      </c>
      <c r="H248" s="36">
        <v>3317</v>
      </c>
    </row>
    <row r="249" spans="1:10" ht="13.5" customHeight="1">
      <c r="A249" s="37" t="s">
        <v>5</v>
      </c>
      <c r="B249" s="36"/>
      <c r="C249" s="36"/>
      <c r="D249" s="36"/>
      <c r="E249" s="36"/>
      <c r="F249" s="36"/>
      <c r="G249" s="36"/>
      <c r="H249" s="36"/>
    </row>
    <row r="250" spans="1:10" ht="13.5" customHeight="1">
      <c r="A250" s="9" t="s">
        <v>6</v>
      </c>
      <c r="B250" s="8">
        <v>2194</v>
      </c>
      <c r="C250" s="8">
        <v>0</v>
      </c>
      <c r="D250" s="8">
        <v>2194</v>
      </c>
      <c r="E250" s="8">
        <v>0</v>
      </c>
      <c r="F250" s="8">
        <v>0</v>
      </c>
      <c r="G250" s="8">
        <v>0</v>
      </c>
      <c r="H250" s="8">
        <v>0</v>
      </c>
    </row>
    <row r="251" spans="1:10" ht="13.5" customHeight="1">
      <c r="A251" s="9" t="s">
        <v>7</v>
      </c>
      <c r="B251" s="8">
        <v>4096</v>
      </c>
      <c r="C251" s="8">
        <v>0</v>
      </c>
      <c r="D251" s="8"/>
      <c r="E251" s="8">
        <v>436</v>
      </c>
      <c r="F251" s="8">
        <v>753</v>
      </c>
      <c r="G251" s="8">
        <v>802</v>
      </c>
      <c r="H251" s="8">
        <v>2105</v>
      </c>
    </row>
    <row r="252" spans="1:10" ht="13.5" customHeight="1">
      <c r="A252" s="9" t="s">
        <v>8</v>
      </c>
      <c r="B252" s="8">
        <v>2150</v>
      </c>
      <c r="C252" s="8">
        <v>0</v>
      </c>
      <c r="D252" s="8">
        <v>119</v>
      </c>
      <c r="E252" s="8">
        <v>91</v>
      </c>
      <c r="F252" s="8">
        <v>297</v>
      </c>
      <c r="G252" s="8">
        <v>456</v>
      </c>
      <c r="H252" s="8">
        <v>1187</v>
      </c>
    </row>
    <row r="253" spans="1:10" ht="13.5" customHeight="1">
      <c r="A253" s="10" t="s">
        <v>65</v>
      </c>
      <c r="B253" s="8">
        <v>538</v>
      </c>
      <c r="C253" s="8">
        <v>166</v>
      </c>
      <c r="D253" s="8">
        <v>234</v>
      </c>
      <c r="E253" s="8">
        <v>45</v>
      </c>
      <c r="F253" s="8">
        <v>43</v>
      </c>
      <c r="G253" s="8">
        <v>25</v>
      </c>
      <c r="H253" s="8">
        <v>25</v>
      </c>
    </row>
    <row r="254" spans="1:10" ht="13.5" customHeight="1">
      <c r="A254" s="37" t="s">
        <v>9</v>
      </c>
      <c r="B254" s="36"/>
      <c r="C254" s="36"/>
      <c r="D254" s="36"/>
      <c r="E254" s="36"/>
      <c r="F254" s="36"/>
      <c r="G254" s="36"/>
      <c r="H254" s="36"/>
    </row>
    <row r="255" spans="1:10" ht="13.5" customHeight="1">
      <c r="A255" s="9" t="s">
        <v>10</v>
      </c>
      <c r="B255" s="8">
        <v>2161</v>
      </c>
      <c r="C255" s="8">
        <v>77</v>
      </c>
      <c r="D255" s="8">
        <v>485</v>
      </c>
      <c r="E255" s="8">
        <v>190</v>
      </c>
      <c r="F255" s="8">
        <v>542</v>
      </c>
      <c r="G255" s="8">
        <v>376</v>
      </c>
      <c r="H255" s="8">
        <v>491</v>
      </c>
    </row>
    <row r="256" spans="1:10" ht="13.5" customHeight="1">
      <c r="A256" s="9" t="s">
        <v>11</v>
      </c>
      <c r="B256" s="8">
        <v>1999</v>
      </c>
      <c r="C256" s="8">
        <v>20</v>
      </c>
      <c r="D256" s="8">
        <v>569</v>
      </c>
      <c r="E256" s="8">
        <v>139</v>
      </c>
      <c r="F256" s="8">
        <v>252</v>
      </c>
      <c r="G256" s="8">
        <v>366</v>
      </c>
      <c r="H256" s="8">
        <v>653</v>
      </c>
    </row>
    <row r="257" spans="1:8" ht="13.5" customHeight="1">
      <c r="A257" s="9" t="s">
        <v>12</v>
      </c>
      <c r="B257" s="8">
        <v>1606</v>
      </c>
      <c r="C257" s="8">
        <v>12</v>
      </c>
      <c r="D257" s="8">
        <v>400</v>
      </c>
      <c r="E257" s="8">
        <v>83</v>
      </c>
      <c r="F257" s="8">
        <v>84</v>
      </c>
      <c r="G257" s="8">
        <v>173</v>
      </c>
      <c r="H257" s="8">
        <v>854</v>
      </c>
    </row>
    <row r="258" spans="1:8" ht="13.5" customHeight="1">
      <c r="A258" s="9" t="s">
        <v>13</v>
      </c>
      <c r="B258" s="8">
        <v>837</v>
      </c>
      <c r="C258" s="8">
        <v>15</v>
      </c>
      <c r="D258" s="8">
        <v>150</v>
      </c>
      <c r="E258" s="8">
        <v>28</v>
      </c>
      <c r="F258" s="8">
        <v>55</v>
      </c>
      <c r="G258" s="8">
        <v>53</v>
      </c>
      <c r="H258" s="8">
        <v>536</v>
      </c>
    </row>
    <row r="259" spans="1:8" ht="13.5" customHeight="1">
      <c r="A259" s="9" t="s">
        <v>14</v>
      </c>
      <c r="B259" s="8">
        <v>477</v>
      </c>
      <c r="C259" s="8">
        <v>9</v>
      </c>
      <c r="D259" s="8">
        <v>131</v>
      </c>
      <c r="E259" s="8">
        <v>19</v>
      </c>
      <c r="F259" s="8">
        <v>19</v>
      </c>
      <c r="G259" s="8">
        <v>61</v>
      </c>
      <c r="H259" s="8">
        <v>238</v>
      </c>
    </row>
    <row r="260" spans="1:8" ht="13.5" customHeight="1">
      <c r="A260" s="9" t="s">
        <v>15</v>
      </c>
      <c r="B260" s="8">
        <v>252</v>
      </c>
      <c r="C260" s="8">
        <v>2</v>
      </c>
      <c r="D260" s="8">
        <v>112</v>
      </c>
      <c r="E260" s="8">
        <v>19</v>
      </c>
      <c r="F260" s="8">
        <v>4</v>
      </c>
      <c r="G260" s="8">
        <v>32</v>
      </c>
      <c r="H260" s="8">
        <v>83</v>
      </c>
    </row>
    <row r="261" spans="1:8" ht="13.5" customHeight="1">
      <c r="A261" s="9" t="s">
        <v>16</v>
      </c>
      <c r="B261" s="8">
        <v>285</v>
      </c>
      <c r="C261" s="8">
        <v>5</v>
      </c>
      <c r="D261" s="8">
        <v>130</v>
      </c>
      <c r="E261" s="8">
        <v>6</v>
      </c>
      <c r="F261" s="8">
        <v>7</v>
      </c>
      <c r="G261" s="8">
        <v>62</v>
      </c>
      <c r="H261" s="8">
        <v>75</v>
      </c>
    </row>
    <row r="262" spans="1:8" ht="13.5" customHeight="1">
      <c r="A262" s="9" t="s">
        <v>17</v>
      </c>
      <c r="B262" s="8">
        <v>179</v>
      </c>
      <c r="C262" s="8">
        <v>6</v>
      </c>
      <c r="D262" s="8">
        <v>91</v>
      </c>
      <c r="E262" s="8">
        <v>9</v>
      </c>
      <c r="F262" s="8">
        <v>7</v>
      </c>
      <c r="G262" s="8">
        <v>29</v>
      </c>
      <c r="H262" s="8">
        <v>37</v>
      </c>
    </row>
    <row r="263" spans="1:8" ht="13.5" customHeight="1">
      <c r="A263" s="9" t="s">
        <v>18</v>
      </c>
      <c r="B263" s="8">
        <v>194</v>
      </c>
      <c r="C263" s="8"/>
      <c r="D263" s="8">
        <v>116</v>
      </c>
      <c r="E263" s="8">
        <v>7</v>
      </c>
      <c r="F263" s="8">
        <v>15</v>
      </c>
      <c r="G263" s="8">
        <v>14</v>
      </c>
      <c r="H263" s="8">
        <v>42</v>
      </c>
    </row>
    <row r="264" spans="1:8" ht="13.5" customHeight="1">
      <c r="A264" s="9" t="s">
        <v>19</v>
      </c>
      <c r="B264" s="8">
        <v>186</v>
      </c>
      <c r="C264" s="8">
        <v>2</v>
      </c>
      <c r="D264" s="8">
        <v>92</v>
      </c>
      <c r="E264" s="8">
        <v>9</v>
      </c>
      <c r="F264" s="8">
        <v>15</v>
      </c>
      <c r="G264" s="8">
        <v>16</v>
      </c>
      <c r="H264" s="8">
        <v>52</v>
      </c>
    </row>
    <row r="265" spans="1:8" ht="13.5" customHeight="1">
      <c r="A265" s="9" t="s">
        <v>20</v>
      </c>
      <c r="B265" s="8">
        <v>379</v>
      </c>
      <c r="C265" s="8">
        <v>7</v>
      </c>
      <c r="D265" s="8">
        <v>187</v>
      </c>
      <c r="E265" s="8">
        <v>20</v>
      </c>
      <c r="F265" s="8">
        <v>33</v>
      </c>
      <c r="G265" s="8">
        <v>41</v>
      </c>
      <c r="H265" s="8">
        <v>91</v>
      </c>
    </row>
    <row r="266" spans="1:8" ht="13.5" customHeight="1">
      <c r="A266" s="9" t="s">
        <v>21</v>
      </c>
      <c r="B266" s="8">
        <v>266</v>
      </c>
      <c r="C266" s="8">
        <v>7</v>
      </c>
      <c r="D266" s="8">
        <v>66</v>
      </c>
      <c r="E266" s="8">
        <v>34</v>
      </c>
      <c r="F266" s="8">
        <v>38</v>
      </c>
      <c r="G266" s="8">
        <v>32</v>
      </c>
      <c r="H266" s="8">
        <v>89</v>
      </c>
    </row>
    <row r="267" spans="1:8" ht="13.5" customHeight="1">
      <c r="A267" s="9" t="s">
        <v>112</v>
      </c>
      <c r="B267" s="8">
        <v>157</v>
      </c>
      <c r="C267" s="8">
        <v>4</v>
      </c>
      <c r="D267" s="8">
        <v>18</v>
      </c>
      <c r="E267" s="8">
        <v>9</v>
      </c>
      <c r="F267" s="8">
        <v>22</v>
      </c>
      <c r="G267" s="8">
        <v>28</v>
      </c>
      <c r="H267" s="8">
        <v>76</v>
      </c>
    </row>
    <row r="268" spans="1:8" ht="13.5" customHeight="1">
      <c r="A268" s="37" t="s">
        <v>22</v>
      </c>
      <c r="B268" s="36"/>
      <c r="C268" s="36"/>
      <c r="D268" s="36"/>
      <c r="E268" s="36"/>
      <c r="F268" s="36"/>
      <c r="G268" s="36"/>
      <c r="H268" s="36"/>
    </row>
    <row r="269" spans="1:8" ht="13.5" customHeight="1">
      <c r="A269" s="9" t="s">
        <v>23</v>
      </c>
      <c r="B269" s="8">
        <v>108</v>
      </c>
      <c r="C269" s="8">
        <v>9</v>
      </c>
      <c r="D269" s="8">
        <v>92</v>
      </c>
      <c r="E269" s="8">
        <v>5</v>
      </c>
      <c r="F269" s="8">
        <v>1</v>
      </c>
      <c r="G269" s="8"/>
      <c r="H269" s="8">
        <v>1</v>
      </c>
    </row>
    <row r="270" spans="1:8" ht="13.5" customHeight="1">
      <c r="A270" s="9" t="s">
        <v>24</v>
      </c>
      <c r="B270" s="8">
        <v>1467</v>
      </c>
      <c r="C270" s="8">
        <v>63</v>
      </c>
      <c r="D270" s="8">
        <v>1145</v>
      </c>
      <c r="E270" s="8">
        <v>179</v>
      </c>
      <c r="F270" s="8">
        <v>66</v>
      </c>
      <c r="G270" s="8">
        <v>9</v>
      </c>
      <c r="H270" s="8">
        <v>5</v>
      </c>
    </row>
    <row r="271" spans="1:8" ht="13.5" customHeight="1">
      <c r="A271" s="9" t="s">
        <v>25</v>
      </c>
      <c r="B271" s="8">
        <v>1991</v>
      </c>
      <c r="C271" s="8">
        <v>23</v>
      </c>
      <c r="D271" s="8">
        <v>1087</v>
      </c>
      <c r="E271" s="8">
        <v>272</v>
      </c>
      <c r="F271" s="8">
        <v>399</v>
      </c>
      <c r="G271" s="8">
        <v>166</v>
      </c>
      <c r="H271" s="8">
        <v>44</v>
      </c>
    </row>
    <row r="272" spans="1:8" ht="13.5" customHeight="1">
      <c r="A272" s="9" t="s">
        <v>26</v>
      </c>
      <c r="B272" s="8">
        <v>1481</v>
      </c>
      <c r="C272" s="8">
        <v>25</v>
      </c>
      <c r="D272" s="8">
        <v>125</v>
      </c>
      <c r="E272" s="8">
        <v>66</v>
      </c>
      <c r="F272" s="8">
        <v>346</v>
      </c>
      <c r="G272" s="8">
        <v>498</v>
      </c>
      <c r="H272" s="8">
        <v>421</v>
      </c>
    </row>
    <row r="273" spans="1:10" ht="13.5" customHeight="1">
      <c r="A273" s="9" t="s">
        <v>27</v>
      </c>
      <c r="B273" s="8">
        <v>1666</v>
      </c>
      <c r="C273" s="8">
        <v>21</v>
      </c>
      <c r="D273" s="8">
        <v>39</v>
      </c>
      <c r="E273" s="8">
        <v>23</v>
      </c>
      <c r="F273" s="8">
        <v>167</v>
      </c>
      <c r="G273" s="8">
        <v>405</v>
      </c>
      <c r="H273" s="8">
        <v>1011</v>
      </c>
    </row>
    <row r="274" spans="1:10" ht="13.5" customHeight="1">
      <c r="A274" s="9" t="s">
        <v>28</v>
      </c>
      <c r="B274" s="8">
        <v>1087</v>
      </c>
      <c r="C274" s="8">
        <v>15</v>
      </c>
      <c r="D274" s="8">
        <v>23</v>
      </c>
      <c r="E274" s="8">
        <v>17</v>
      </c>
      <c r="F274" s="8">
        <v>72</v>
      </c>
      <c r="G274" s="8">
        <v>127</v>
      </c>
      <c r="H274" s="8">
        <v>833</v>
      </c>
    </row>
    <row r="275" spans="1:10" ht="13.5" customHeight="1">
      <c r="A275" s="9" t="s">
        <v>29</v>
      </c>
      <c r="B275" s="8">
        <v>683</v>
      </c>
      <c r="C275" s="8">
        <v>5</v>
      </c>
      <c r="D275" s="8">
        <v>24</v>
      </c>
      <c r="E275" s="8">
        <v>7</v>
      </c>
      <c r="F275" s="8">
        <v>31</v>
      </c>
      <c r="G275" s="8">
        <v>48</v>
      </c>
      <c r="H275" s="8">
        <v>568</v>
      </c>
    </row>
    <row r="276" spans="1:10" ht="13.5" customHeight="1">
      <c r="A276" s="9" t="s">
        <v>30</v>
      </c>
      <c r="B276" s="8">
        <v>495</v>
      </c>
      <c r="C276" s="8">
        <v>5</v>
      </c>
      <c r="D276" s="8">
        <v>12</v>
      </c>
      <c r="E276" s="8">
        <v>3</v>
      </c>
      <c r="F276" s="8">
        <v>11</v>
      </c>
      <c r="G276" s="8">
        <v>30</v>
      </c>
      <c r="H276" s="8">
        <v>434</v>
      </c>
    </row>
    <row r="277" spans="1:10" ht="13.5" customHeight="1">
      <c r="A277" s="161"/>
      <c r="B277" s="161"/>
      <c r="C277" s="161"/>
      <c r="D277" s="161"/>
      <c r="E277" s="161"/>
      <c r="F277" s="161"/>
      <c r="G277" s="161"/>
      <c r="H277" s="161"/>
    </row>
    <row r="278" spans="1:10" ht="13.5" customHeight="1">
      <c r="A278" s="9" t="s">
        <v>84</v>
      </c>
      <c r="B278" s="161"/>
      <c r="C278" s="161"/>
      <c r="D278" s="161"/>
      <c r="E278" s="161"/>
      <c r="F278" s="161"/>
      <c r="G278" s="8"/>
      <c r="H278" s="8"/>
    </row>
    <row r="279" spans="1:10" ht="13.5" customHeight="1">
      <c r="A279" s="9"/>
      <c r="B279" s="161"/>
      <c r="C279" s="161"/>
      <c r="D279" s="161"/>
      <c r="E279" s="161"/>
      <c r="F279" s="161"/>
      <c r="G279" s="8"/>
      <c r="H279" s="8"/>
    </row>
    <row r="280" spans="1:10" ht="13.5" customHeight="1">
      <c r="A280" s="26" t="s">
        <v>113</v>
      </c>
      <c r="B280" s="8"/>
      <c r="C280" s="8"/>
      <c r="D280" s="8"/>
      <c r="E280" s="8"/>
      <c r="F280" s="8"/>
      <c r="G280" s="8"/>
      <c r="H280" s="8"/>
    </row>
    <row r="283" spans="1:10" ht="13.5" customHeight="1">
      <c r="A283" s="24" t="s">
        <v>202</v>
      </c>
      <c r="B283" s="94"/>
      <c r="C283" s="94"/>
      <c r="D283" s="94"/>
      <c r="E283" s="94"/>
      <c r="F283" s="162"/>
      <c r="G283" s="94"/>
      <c r="H283" s="96"/>
    </row>
    <row r="284" spans="1:10" ht="13.5" customHeight="1">
      <c r="A284" s="13" t="s">
        <v>1</v>
      </c>
      <c r="B284" s="13"/>
      <c r="C284" s="13"/>
      <c r="D284" s="13"/>
      <c r="E284" s="13"/>
      <c r="F284" s="13"/>
      <c r="G284" s="13"/>
      <c r="H284" s="160"/>
    </row>
    <row r="285" spans="1:10" ht="13.5" customHeight="1">
      <c r="A285" s="13"/>
      <c r="B285" s="13"/>
      <c r="C285" s="13"/>
      <c r="D285" s="13"/>
      <c r="E285" s="13"/>
      <c r="F285" s="13"/>
      <c r="G285" s="13"/>
      <c r="H285" s="25"/>
    </row>
    <row r="286" spans="1:10" ht="13.5" customHeight="1">
      <c r="A286" s="31"/>
      <c r="B286" s="31"/>
      <c r="C286" s="33"/>
      <c r="D286" s="33"/>
      <c r="E286" s="33"/>
      <c r="F286" s="33"/>
      <c r="G286" s="33"/>
      <c r="H286" s="34" t="s">
        <v>83</v>
      </c>
      <c r="J286" s="170" t="s">
        <v>126</v>
      </c>
    </row>
    <row r="287" spans="1:10" ht="13.5" customHeight="1">
      <c r="A287" s="30"/>
      <c r="B287" s="38" t="s">
        <v>2</v>
      </c>
      <c r="C287" s="31">
        <v>0</v>
      </c>
      <c r="D287" s="31">
        <v>1</v>
      </c>
      <c r="E287" s="31">
        <v>2</v>
      </c>
      <c r="F287" s="38" t="s">
        <v>3</v>
      </c>
      <c r="G287" s="38" t="s">
        <v>4</v>
      </c>
      <c r="H287" s="38" t="s">
        <v>64</v>
      </c>
    </row>
    <row r="288" spans="1:10" ht="13.5" customHeight="1">
      <c r="A288" s="37" t="s">
        <v>145</v>
      </c>
      <c r="B288" s="36">
        <v>8960</v>
      </c>
      <c r="C288" s="36">
        <v>170</v>
      </c>
      <c r="D288" s="36">
        <v>2569</v>
      </c>
      <c r="E288" s="36">
        <v>569</v>
      </c>
      <c r="F288" s="36">
        <v>1081</v>
      </c>
      <c r="G288" s="36">
        <v>1280</v>
      </c>
      <c r="H288" s="36">
        <v>3291</v>
      </c>
    </row>
    <row r="289" spans="1:8" ht="13.5" customHeight="1">
      <c r="A289" s="37" t="s">
        <v>5</v>
      </c>
      <c r="B289" s="36"/>
      <c r="C289" s="36"/>
      <c r="D289" s="36"/>
      <c r="E289" s="36"/>
      <c r="F289" s="36"/>
      <c r="G289" s="36"/>
      <c r="H289" s="36">
        <v>0</v>
      </c>
    </row>
    <row r="290" spans="1:8" ht="13.5" customHeight="1">
      <c r="A290" s="9" t="s">
        <v>6</v>
      </c>
      <c r="B290" s="8">
        <v>2207</v>
      </c>
      <c r="C290" s="8">
        <v>0</v>
      </c>
      <c r="D290" s="8">
        <v>2207</v>
      </c>
      <c r="E290" s="8"/>
      <c r="F290" s="8">
        <v>0</v>
      </c>
      <c r="G290" s="8">
        <v>0</v>
      </c>
      <c r="H290" s="8">
        <v>0</v>
      </c>
    </row>
    <row r="291" spans="1:8" ht="13.5" customHeight="1">
      <c r="A291" s="9" t="s">
        <v>7</v>
      </c>
      <c r="B291" s="8">
        <v>4060</v>
      </c>
      <c r="C291" s="8">
        <v>0</v>
      </c>
      <c r="D291" s="8"/>
      <c r="E291" s="8">
        <v>434</v>
      </c>
      <c r="F291" s="8">
        <v>739</v>
      </c>
      <c r="G291" s="8">
        <v>797</v>
      </c>
      <c r="H291" s="8">
        <v>2090</v>
      </c>
    </row>
    <row r="292" spans="1:8" ht="13.5" customHeight="1">
      <c r="A292" s="9" t="s">
        <v>8</v>
      </c>
      <c r="B292" s="8">
        <v>2147</v>
      </c>
      <c r="C292" s="8">
        <v>0</v>
      </c>
      <c r="D292" s="8">
        <v>122</v>
      </c>
      <c r="E292" s="8">
        <v>89</v>
      </c>
      <c r="F292" s="8">
        <v>299</v>
      </c>
      <c r="G292" s="8">
        <v>459</v>
      </c>
      <c r="H292" s="8">
        <v>1178</v>
      </c>
    </row>
    <row r="293" spans="1:8" ht="13.5" customHeight="1">
      <c r="A293" s="10" t="s">
        <v>65</v>
      </c>
      <c r="B293" s="8">
        <v>546</v>
      </c>
      <c r="C293" s="8">
        <v>170</v>
      </c>
      <c r="D293" s="8">
        <v>240</v>
      </c>
      <c r="E293" s="8">
        <v>46</v>
      </c>
      <c r="F293" s="8">
        <v>43</v>
      </c>
      <c r="G293" s="8">
        <v>24</v>
      </c>
      <c r="H293" s="8">
        <v>23</v>
      </c>
    </row>
    <row r="294" spans="1:8" ht="13.5" customHeight="1">
      <c r="A294" s="37" t="s">
        <v>9</v>
      </c>
      <c r="B294" s="36"/>
      <c r="C294" s="36"/>
      <c r="D294" s="36"/>
      <c r="E294" s="36"/>
      <c r="F294" s="36"/>
      <c r="G294" s="36"/>
      <c r="H294" s="36"/>
    </row>
    <row r="295" spans="1:8" ht="13.5" customHeight="1">
      <c r="A295" s="9" t="s">
        <v>10</v>
      </c>
      <c r="B295" s="8">
        <v>2168</v>
      </c>
      <c r="C295" s="8">
        <v>77</v>
      </c>
      <c r="D295" s="8">
        <v>494</v>
      </c>
      <c r="E295" s="8">
        <v>186</v>
      </c>
      <c r="F295" s="8">
        <v>547</v>
      </c>
      <c r="G295" s="8">
        <v>377</v>
      </c>
      <c r="H295" s="8">
        <v>487</v>
      </c>
    </row>
    <row r="296" spans="1:8" ht="13.5" customHeight="1">
      <c r="A296" s="9" t="s">
        <v>11</v>
      </c>
      <c r="B296" s="8">
        <v>2008</v>
      </c>
      <c r="C296" s="8">
        <v>19</v>
      </c>
      <c r="D296" s="8">
        <v>579</v>
      </c>
      <c r="E296" s="8">
        <v>141</v>
      </c>
      <c r="F296" s="8">
        <v>249</v>
      </c>
      <c r="G296" s="8">
        <v>368</v>
      </c>
      <c r="H296" s="8">
        <v>652</v>
      </c>
    </row>
    <row r="297" spans="1:8" ht="13.5" customHeight="1">
      <c r="A297" s="9" t="s">
        <v>12</v>
      </c>
      <c r="B297" s="8">
        <v>1610</v>
      </c>
      <c r="C297" s="8">
        <v>16</v>
      </c>
      <c r="D297" s="8">
        <v>400</v>
      </c>
      <c r="E297" s="8">
        <v>82</v>
      </c>
      <c r="F297" s="8">
        <v>84</v>
      </c>
      <c r="G297" s="8">
        <v>172</v>
      </c>
      <c r="H297" s="8">
        <v>856</v>
      </c>
    </row>
    <row r="298" spans="1:8" ht="13.5" customHeight="1">
      <c r="A298" s="9" t="s">
        <v>13</v>
      </c>
      <c r="B298" s="8">
        <v>841</v>
      </c>
      <c r="C298" s="8">
        <v>16</v>
      </c>
      <c r="D298" s="8">
        <v>155</v>
      </c>
      <c r="E298" s="8">
        <v>29</v>
      </c>
      <c r="F298" s="8">
        <v>52</v>
      </c>
      <c r="G298" s="8">
        <v>53</v>
      </c>
      <c r="H298" s="8">
        <v>536</v>
      </c>
    </row>
    <row r="299" spans="1:8" ht="13.5" customHeight="1">
      <c r="A299" s="9" t="s">
        <v>14</v>
      </c>
      <c r="B299" s="8">
        <v>474</v>
      </c>
      <c r="C299" s="8">
        <v>8</v>
      </c>
      <c r="D299" s="8">
        <v>132</v>
      </c>
      <c r="E299" s="8">
        <v>18</v>
      </c>
      <c r="F299" s="8">
        <v>18</v>
      </c>
      <c r="G299" s="8">
        <v>63</v>
      </c>
      <c r="H299" s="8">
        <v>235</v>
      </c>
    </row>
    <row r="300" spans="1:8" ht="13.5" customHeight="1">
      <c r="A300" s="9" t="s">
        <v>15</v>
      </c>
      <c r="B300" s="8">
        <v>250</v>
      </c>
      <c r="C300" s="8">
        <v>2</v>
      </c>
      <c r="D300" s="8">
        <v>111</v>
      </c>
      <c r="E300" s="8">
        <v>18</v>
      </c>
      <c r="F300" s="8">
        <v>4</v>
      </c>
      <c r="G300" s="8">
        <v>32</v>
      </c>
      <c r="H300" s="8">
        <v>83</v>
      </c>
    </row>
    <row r="301" spans="1:8" ht="13.5" customHeight="1">
      <c r="A301" s="9" t="s">
        <v>16</v>
      </c>
      <c r="B301" s="8">
        <v>287</v>
      </c>
      <c r="C301" s="8">
        <v>6</v>
      </c>
      <c r="D301" s="8">
        <v>130</v>
      </c>
      <c r="E301" s="8">
        <v>6</v>
      </c>
      <c r="F301" s="8">
        <v>8</v>
      </c>
      <c r="G301" s="8">
        <v>63</v>
      </c>
      <c r="H301" s="8">
        <v>74</v>
      </c>
    </row>
    <row r="302" spans="1:8" ht="13.5" customHeight="1">
      <c r="A302" s="9" t="s">
        <v>17</v>
      </c>
      <c r="B302" s="8">
        <v>180</v>
      </c>
      <c r="C302" s="8">
        <v>7</v>
      </c>
      <c r="D302" s="8">
        <v>91</v>
      </c>
      <c r="E302" s="8">
        <v>9</v>
      </c>
      <c r="F302" s="8">
        <v>7</v>
      </c>
      <c r="G302" s="8">
        <v>29</v>
      </c>
      <c r="H302" s="8">
        <v>37</v>
      </c>
    </row>
    <row r="303" spans="1:8" ht="13.5" customHeight="1">
      <c r="A303" s="9" t="s">
        <v>18</v>
      </c>
      <c r="B303" s="8">
        <v>193</v>
      </c>
      <c r="C303" s="8"/>
      <c r="D303" s="8">
        <v>115</v>
      </c>
      <c r="E303" s="8">
        <v>7</v>
      </c>
      <c r="F303" s="8">
        <v>15</v>
      </c>
      <c r="G303" s="8">
        <v>14</v>
      </c>
      <c r="H303" s="8">
        <v>42</v>
      </c>
    </row>
    <row r="304" spans="1:8" ht="13.5" customHeight="1">
      <c r="A304" s="9" t="s">
        <v>19</v>
      </c>
      <c r="B304" s="8">
        <v>186</v>
      </c>
      <c r="C304" s="8">
        <v>2</v>
      </c>
      <c r="D304" s="8">
        <v>92</v>
      </c>
      <c r="E304" s="8">
        <v>9</v>
      </c>
      <c r="F304" s="8">
        <v>15</v>
      </c>
      <c r="G304" s="8">
        <v>16</v>
      </c>
      <c r="H304" s="8">
        <v>52</v>
      </c>
    </row>
    <row r="305" spans="1:8" ht="13.5" customHeight="1">
      <c r="A305" s="9" t="s">
        <v>20</v>
      </c>
      <c r="B305" s="8">
        <v>380</v>
      </c>
      <c r="C305" s="8">
        <v>7</v>
      </c>
      <c r="D305" s="8">
        <v>189</v>
      </c>
      <c r="E305" s="8">
        <v>19</v>
      </c>
      <c r="F305" s="8">
        <v>33</v>
      </c>
      <c r="G305" s="8">
        <v>41</v>
      </c>
      <c r="H305" s="8">
        <v>91</v>
      </c>
    </row>
    <row r="306" spans="1:8" ht="13.5" customHeight="1">
      <c r="A306" s="9" t="s">
        <v>21</v>
      </c>
      <c r="B306" s="8">
        <v>267</v>
      </c>
      <c r="C306" s="8">
        <v>7</v>
      </c>
      <c r="D306" s="8">
        <v>66</v>
      </c>
      <c r="E306" s="8">
        <v>37</v>
      </c>
      <c r="F306" s="8">
        <v>37</v>
      </c>
      <c r="G306" s="8">
        <v>31</v>
      </c>
      <c r="H306" s="8">
        <v>89</v>
      </c>
    </row>
    <row r="307" spans="1:8" ht="13.5" customHeight="1">
      <c r="A307" s="9" t="s">
        <v>112</v>
      </c>
      <c r="B307" s="8">
        <v>116</v>
      </c>
      <c r="C307" s="8">
        <v>3</v>
      </c>
      <c r="D307" s="8">
        <v>15</v>
      </c>
      <c r="E307" s="8">
        <v>8</v>
      </c>
      <c r="F307" s="8">
        <v>12</v>
      </c>
      <c r="G307" s="8">
        <v>21</v>
      </c>
      <c r="H307" s="8">
        <v>57</v>
      </c>
    </row>
    <row r="308" spans="1:8" ht="13.5" customHeight="1">
      <c r="A308" s="37" t="s">
        <v>22</v>
      </c>
      <c r="B308" s="36"/>
      <c r="C308" s="36"/>
      <c r="D308" s="36"/>
      <c r="E308" s="36"/>
      <c r="F308" s="36"/>
      <c r="G308" s="36"/>
      <c r="H308" s="36"/>
    </row>
    <row r="309" spans="1:8" ht="13.5" customHeight="1">
      <c r="A309" s="9" t="s">
        <v>23</v>
      </c>
      <c r="B309" s="8">
        <v>110</v>
      </c>
      <c r="C309" s="8">
        <v>14</v>
      </c>
      <c r="D309" s="8">
        <v>89</v>
      </c>
      <c r="E309" s="8">
        <v>5</v>
      </c>
      <c r="F309" s="8">
        <v>1</v>
      </c>
      <c r="G309" s="8">
        <v>0</v>
      </c>
      <c r="H309" s="8">
        <v>1</v>
      </c>
    </row>
    <row r="310" spans="1:8" ht="13.5" customHeight="1">
      <c r="A310" s="9" t="s">
        <v>24</v>
      </c>
      <c r="B310" s="8">
        <v>1469</v>
      </c>
      <c r="C310" s="8">
        <v>65</v>
      </c>
      <c r="D310" s="8">
        <v>1156</v>
      </c>
      <c r="E310" s="8">
        <v>173</v>
      </c>
      <c r="F310" s="8">
        <v>61</v>
      </c>
      <c r="G310" s="8">
        <v>9</v>
      </c>
      <c r="H310" s="8">
        <v>5</v>
      </c>
    </row>
    <row r="311" spans="1:8" ht="13.5" customHeight="1">
      <c r="A311" s="9" t="s">
        <v>25</v>
      </c>
      <c r="B311" s="8">
        <v>1984</v>
      </c>
      <c r="C311" s="8">
        <v>21</v>
      </c>
      <c r="D311" s="8">
        <v>1098</v>
      </c>
      <c r="E311" s="8">
        <v>273</v>
      </c>
      <c r="F311" s="8">
        <v>387</v>
      </c>
      <c r="G311" s="8">
        <v>162</v>
      </c>
      <c r="H311" s="8">
        <v>43</v>
      </c>
    </row>
    <row r="312" spans="1:8" ht="13.5" customHeight="1">
      <c r="A312" s="9" t="s">
        <v>26</v>
      </c>
      <c r="B312" s="8">
        <v>1492</v>
      </c>
      <c r="C312" s="8">
        <v>25</v>
      </c>
      <c r="D312" s="8">
        <v>127</v>
      </c>
      <c r="E312" s="8">
        <v>67</v>
      </c>
      <c r="F312" s="8">
        <v>349</v>
      </c>
      <c r="G312" s="8">
        <v>497</v>
      </c>
      <c r="H312" s="8">
        <v>427</v>
      </c>
    </row>
    <row r="313" spans="1:8" ht="13.5" customHeight="1">
      <c r="A313" s="9" t="s">
        <v>27</v>
      </c>
      <c r="B313" s="8">
        <v>1654</v>
      </c>
      <c r="C313" s="8">
        <v>22</v>
      </c>
      <c r="D313" s="8">
        <v>41</v>
      </c>
      <c r="E313" s="8">
        <v>23</v>
      </c>
      <c r="F313" s="8">
        <v>170</v>
      </c>
      <c r="G313" s="8">
        <v>405</v>
      </c>
      <c r="H313" s="8">
        <v>993</v>
      </c>
    </row>
    <row r="314" spans="1:8" ht="13.5" customHeight="1">
      <c r="A314" s="9" t="s">
        <v>28</v>
      </c>
      <c r="B314" s="8">
        <v>1083</v>
      </c>
      <c r="C314" s="8">
        <v>15</v>
      </c>
      <c r="D314" s="8">
        <v>23</v>
      </c>
      <c r="E314" s="8">
        <v>17</v>
      </c>
      <c r="F314" s="8">
        <v>71</v>
      </c>
      <c r="G314" s="8">
        <v>129</v>
      </c>
      <c r="H314" s="8">
        <v>828</v>
      </c>
    </row>
    <row r="315" spans="1:8" ht="13.5" customHeight="1">
      <c r="A315" s="9" t="s">
        <v>29</v>
      </c>
      <c r="B315" s="8">
        <v>676</v>
      </c>
      <c r="C315" s="8">
        <v>5</v>
      </c>
      <c r="D315" s="8">
        <v>24</v>
      </c>
      <c r="E315" s="8">
        <v>8</v>
      </c>
      <c r="F315" s="8">
        <v>30</v>
      </c>
      <c r="G315" s="8">
        <v>48</v>
      </c>
      <c r="H315" s="8">
        <v>561</v>
      </c>
    </row>
    <row r="316" spans="1:8" ht="13.5" customHeight="1">
      <c r="A316" s="9" t="s">
        <v>30</v>
      </c>
      <c r="B316" s="8">
        <v>492</v>
      </c>
      <c r="C316" s="8">
        <v>3</v>
      </c>
      <c r="D316" s="8">
        <v>11</v>
      </c>
      <c r="E316" s="8">
        <v>3</v>
      </c>
      <c r="F316" s="8">
        <v>12</v>
      </c>
      <c r="G316" s="8">
        <v>30</v>
      </c>
      <c r="H316" s="8">
        <v>433</v>
      </c>
    </row>
    <row r="317" spans="1:8" ht="13.5" customHeight="1">
      <c r="A317" s="161"/>
      <c r="B317" s="161"/>
      <c r="C317" s="161"/>
      <c r="D317" s="161"/>
      <c r="E317" s="161"/>
      <c r="F317" s="161"/>
      <c r="G317" s="161"/>
      <c r="H317" s="161"/>
    </row>
    <row r="318" spans="1:8" ht="13.5" customHeight="1">
      <c r="A318" s="9" t="s">
        <v>84</v>
      </c>
      <c r="B318" s="161"/>
      <c r="C318" s="161"/>
      <c r="D318" s="161"/>
      <c r="E318" s="161"/>
      <c r="F318" s="161"/>
      <c r="G318" s="8"/>
      <c r="H318" s="8"/>
    </row>
    <row r="319" spans="1:8" ht="13.5" customHeight="1">
      <c r="A319" s="9"/>
      <c r="B319" s="161"/>
      <c r="C319" s="161"/>
      <c r="D319" s="161"/>
      <c r="E319" s="161"/>
      <c r="F319" s="161"/>
      <c r="G319" s="8"/>
      <c r="H319" s="8"/>
    </row>
    <row r="320" spans="1:8" ht="13.5" customHeight="1">
      <c r="A320" s="26" t="s">
        <v>113</v>
      </c>
      <c r="B320" s="8"/>
      <c r="C320" s="8"/>
      <c r="D320" s="8"/>
      <c r="E320" s="8"/>
      <c r="F320" s="8"/>
      <c r="G320" s="8"/>
      <c r="H320" s="8"/>
    </row>
    <row r="323" spans="1:11" ht="13.5" customHeight="1">
      <c r="A323" s="24" t="s">
        <v>203</v>
      </c>
      <c r="B323" s="94"/>
      <c r="C323" s="94"/>
      <c r="D323" s="94"/>
      <c r="E323" s="94"/>
      <c r="F323" s="162"/>
      <c r="G323" s="94"/>
      <c r="H323" s="96"/>
    </row>
    <row r="324" spans="1:11" ht="13.5" customHeight="1">
      <c r="A324" s="13" t="s">
        <v>1</v>
      </c>
      <c r="B324" s="13"/>
      <c r="C324" s="13"/>
      <c r="D324" s="13"/>
      <c r="E324" s="13"/>
      <c r="F324" s="13"/>
      <c r="G324" s="13"/>
      <c r="H324" s="160"/>
    </row>
    <row r="325" spans="1:11" ht="13.5" customHeight="1">
      <c r="A325" s="13"/>
      <c r="B325" s="13"/>
      <c r="C325" s="13"/>
      <c r="D325" s="13"/>
      <c r="E325" s="13"/>
      <c r="F325" s="13"/>
      <c r="G325" s="13"/>
      <c r="H325" s="25"/>
    </row>
    <row r="326" spans="1:11" ht="13.5" customHeight="1">
      <c r="A326" s="31"/>
      <c r="B326" s="31"/>
      <c r="C326" s="33"/>
      <c r="D326" s="33"/>
      <c r="E326" s="33"/>
      <c r="F326" s="33"/>
      <c r="G326" s="33"/>
      <c r="H326" s="34" t="s">
        <v>83</v>
      </c>
      <c r="J326" s="170" t="s">
        <v>126</v>
      </c>
    </row>
    <row r="327" spans="1:11" ht="13.5" customHeight="1">
      <c r="A327" s="30"/>
      <c r="B327" s="38" t="s">
        <v>2</v>
      </c>
      <c r="C327" s="31">
        <v>0</v>
      </c>
      <c r="D327" s="31">
        <v>1</v>
      </c>
      <c r="E327" s="31">
        <v>2</v>
      </c>
      <c r="F327" s="38" t="s">
        <v>3</v>
      </c>
      <c r="G327" s="38" t="s">
        <v>4</v>
      </c>
      <c r="H327" s="38" t="s">
        <v>64</v>
      </c>
    </row>
    <row r="328" spans="1:11" ht="13.5" customHeight="1">
      <c r="A328" s="37" t="s">
        <v>115</v>
      </c>
      <c r="B328" s="36">
        <v>8974</v>
      </c>
      <c r="C328" s="36">
        <v>161</v>
      </c>
      <c r="D328" s="36">
        <v>2605</v>
      </c>
      <c r="E328" s="36">
        <v>576</v>
      </c>
      <c r="F328" s="36">
        <v>1073</v>
      </c>
      <c r="G328" s="36">
        <v>1274</v>
      </c>
      <c r="H328" s="36">
        <v>3285</v>
      </c>
      <c r="J328" s="7"/>
    </row>
    <row r="329" spans="1:11" ht="13.5" customHeight="1">
      <c r="A329" s="37" t="s">
        <v>5</v>
      </c>
      <c r="B329" s="36"/>
      <c r="C329" s="36"/>
      <c r="D329" s="36"/>
      <c r="E329" s="36"/>
      <c r="F329" s="36"/>
      <c r="G329" s="36"/>
      <c r="H329" s="36"/>
    </row>
    <row r="330" spans="1:11" ht="13.5" customHeight="1">
      <c r="A330" s="9" t="s">
        <v>6</v>
      </c>
      <c r="B330" s="8">
        <v>2213</v>
      </c>
      <c r="C330" s="8">
        <v>0</v>
      </c>
      <c r="D330" s="8">
        <v>2213</v>
      </c>
      <c r="E330" s="8">
        <v>0</v>
      </c>
      <c r="F330" s="8">
        <v>0</v>
      </c>
      <c r="G330" s="8">
        <v>0</v>
      </c>
      <c r="H330" s="8">
        <v>0</v>
      </c>
    </row>
    <row r="331" spans="1:11" ht="13.5" customHeight="1">
      <c r="A331" s="9" t="s">
        <v>7</v>
      </c>
      <c r="B331" s="8">
        <v>4036</v>
      </c>
      <c r="C331" s="8">
        <v>0</v>
      </c>
      <c r="D331" s="8">
        <v>0</v>
      </c>
      <c r="E331" s="8">
        <v>429</v>
      </c>
      <c r="F331" s="8">
        <v>731</v>
      </c>
      <c r="G331" s="8">
        <v>796</v>
      </c>
      <c r="H331" s="8">
        <v>2080</v>
      </c>
      <c r="J331" s="35"/>
    </row>
    <row r="332" spans="1:11" ht="13.5" customHeight="1">
      <c r="A332" s="9" t="s">
        <v>8</v>
      </c>
      <c r="B332" s="8">
        <v>2160</v>
      </c>
      <c r="C332" s="8">
        <v>0</v>
      </c>
      <c r="D332" s="8">
        <v>132</v>
      </c>
      <c r="E332" s="8">
        <v>97</v>
      </c>
      <c r="F332" s="8">
        <v>298</v>
      </c>
      <c r="G332" s="8">
        <v>454</v>
      </c>
      <c r="H332" s="8">
        <v>1179</v>
      </c>
    </row>
    <row r="333" spans="1:11" ht="13.5" customHeight="1">
      <c r="A333" s="10" t="s">
        <v>116</v>
      </c>
      <c r="B333" s="8">
        <v>565</v>
      </c>
      <c r="C333" s="8">
        <v>161</v>
      </c>
      <c r="D333" s="8">
        <v>260</v>
      </c>
      <c r="E333" s="8">
        <v>50</v>
      </c>
      <c r="F333" s="8">
        <v>44</v>
      </c>
      <c r="G333" s="8">
        <v>24</v>
      </c>
      <c r="H333" s="8">
        <v>26</v>
      </c>
    </row>
    <row r="334" spans="1:11" ht="13.5" customHeight="1">
      <c r="A334" s="37" t="s">
        <v>9</v>
      </c>
      <c r="B334" s="36"/>
      <c r="C334" s="36"/>
      <c r="D334" s="36"/>
      <c r="E334" s="36"/>
      <c r="F334" s="36"/>
      <c r="G334" s="36"/>
      <c r="H334" s="36"/>
    </row>
    <row r="335" spans="1:11" ht="13.5" customHeight="1">
      <c r="A335" s="9" t="s">
        <v>10</v>
      </c>
      <c r="B335" s="8">
        <v>2185</v>
      </c>
      <c r="C335" s="8">
        <v>70</v>
      </c>
      <c r="D335" s="8">
        <v>513</v>
      </c>
      <c r="E335" s="8">
        <v>192</v>
      </c>
      <c r="F335" s="8">
        <v>543</v>
      </c>
      <c r="G335" s="8">
        <v>378</v>
      </c>
      <c r="H335" s="8">
        <v>489</v>
      </c>
      <c r="I335" s="7"/>
      <c r="K335" s="7"/>
    </row>
    <row r="336" spans="1:11" ht="13.5" customHeight="1">
      <c r="A336" s="9" t="s">
        <v>11</v>
      </c>
      <c r="B336" s="8">
        <v>2027</v>
      </c>
      <c r="C336" s="8">
        <v>18</v>
      </c>
      <c r="D336" s="8">
        <v>589</v>
      </c>
      <c r="E336" s="8">
        <v>143</v>
      </c>
      <c r="F336" s="8">
        <v>254</v>
      </c>
      <c r="G336" s="8">
        <v>369</v>
      </c>
      <c r="H336" s="8">
        <v>654</v>
      </c>
    </row>
    <row r="337" spans="1:11" ht="13.5" customHeight="1">
      <c r="A337" s="9" t="s">
        <v>12</v>
      </c>
      <c r="B337" s="8">
        <v>1617</v>
      </c>
      <c r="C337" s="8">
        <v>16</v>
      </c>
      <c r="D337" s="8">
        <v>408</v>
      </c>
      <c r="E337" s="8">
        <v>83</v>
      </c>
      <c r="F337" s="8">
        <v>81</v>
      </c>
      <c r="G337" s="8">
        <v>173</v>
      </c>
      <c r="H337" s="8">
        <v>856</v>
      </c>
    </row>
    <row r="338" spans="1:11" ht="13.5" customHeight="1">
      <c r="A338" s="9" t="s">
        <v>13</v>
      </c>
      <c r="B338" s="8">
        <v>848</v>
      </c>
      <c r="C338" s="8">
        <v>15</v>
      </c>
      <c r="D338" s="8">
        <v>160</v>
      </c>
      <c r="E338" s="8">
        <v>31</v>
      </c>
      <c r="F338" s="8">
        <v>53</v>
      </c>
      <c r="G338" s="8">
        <v>52</v>
      </c>
      <c r="H338" s="8">
        <v>537</v>
      </c>
      <c r="I338" s="35"/>
      <c r="K338" s="35"/>
    </row>
    <row r="339" spans="1:11" ht="13.5" customHeight="1">
      <c r="A339" s="9" t="s">
        <v>14</v>
      </c>
      <c r="B339" s="8">
        <v>478</v>
      </c>
      <c r="C339" s="8">
        <v>11</v>
      </c>
      <c r="D339" s="8">
        <v>132</v>
      </c>
      <c r="E339" s="8">
        <v>18</v>
      </c>
      <c r="F339" s="8">
        <v>19</v>
      </c>
      <c r="G339" s="8">
        <v>63</v>
      </c>
      <c r="H339" s="8">
        <v>235</v>
      </c>
    </row>
    <row r="340" spans="1:11" ht="13.5" customHeight="1">
      <c r="A340" s="9" t="s">
        <v>15</v>
      </c>
      <c r="B340" s="8">
        <v>251</v>
      </c>
      <c r="C340" s="8">
        <v>2</v>
      </c>
      <c r="D340" s="8">
        <v>113</v>
      </c>
      <c r="E340" s="8">
        <v>17</v>
      </c>
      <c r="F340" s="8">
        <v>4</v>
      </c>
      <c r="G340" s="8">
        <v>32</v>
      </c>
      <c r="H340" s="8">
        <v>83</v>
      </c>
    </row>
    <row r="341" spans="1:11" ht="13.5" customHeight="1">
      <c r="A341" s="9" t="s">
        <v>16</v>
      </c>
      <c r="B341" s="8">
        <v>286</v>
      </c>
      <c r="C341" s="8">
        <v>6</v>
      </c>
      <c r="D341" s="8">
        <v>130</v>
      </c>
      <c r="E341" s="8">
        <v>6</v>
      </c>
      <c r="F341" s="8">
        <v>7</v>
      </c>
      <c r="G341" s="8">
        <v>63</v>
      </c>
      <c r="H341" s="8">
        <v>74</v>
      </c>
    </row>
    <row r="342" spans="1:11" ht="13.5" customHeight="1">
      <c r="A342" s="9" t="s">
        <v>17</v>
      </c>
      <c r="B342" s="8">
        <v>179</v>
      </c>
      <c r="C342" s="8">
        <v>6</v>
      </c>
      <c r="D342" s="8">
        <v>91</v>
      </c>
      <c r="E342" s="8">
        <v>9</v>
      </c>
      <c r="F342" s="8">
        <v>7</v>
      </c>
      <c r="G342" s="8">
        <v>29</v>
      </c>
      <c r="H342" s="8">
        <v>37</v>
      </c>
    </row>
    <row r="343" spans="1:11" ht="13.5" customHeight="1">
      <c r="A343" s="9" t="s">
        <v>18</v>
      </c>
      <c r="B343" s="8">
        <v>193</v>
      </c>
      <c r="C343" s="8">
        <v>0</v>
      </c>
      <c r="D343" s="8">
        <v>115</v>
      </c>
      <c r="E343" s="8">
        <v>7</v>
      </c>
      <c r="F343" s="8">
        <v>15</v>
      </c>
      <c r="G343" s="8">
        <v>14</v>
      </c>
      <c r="H343" s="8">
        <v>42</v>
      </c>
    </row>
    <row r="344" spans="1:11" ht="13.5" customHeight="1">
      <c r="A344" s="9" t="s">
        <v>19</v>
      </c>
      <c r="B344" s="8">
        <v>186</v>
      </c>
      <c r="C344" s="8">
        <v>2</v>
      </c>
      <c r="D344" s="8">
        <v>92</v>
      </c>
      <c r="E344" s="8">
        <v>9</v>
      </c>
      <c r="F344" s="8">
        <v>15</v>
      </c>
      <c r="G344" s="8">
        <v>16</v>
      </c>
      <c r="H344" s="8">
        <v>52</v>
      </c>
    </row>
    <row r="345" spans="1:11" ht="13.5" customHeight="1">
      <c r="A345" s="9" t="s">
        <v>20</v>
      </c>
      <c r="B345" s="8">
        <v>380</v>
      </c>
      <c r="C345" s="8">
        <v>7</v>
      </c>
      <c r="D345" s="8">
        <v>189</v>
      </c>
      <c r="E345" s="8">
        <v>19</v>
      </c>
      <c r="F345" s="8">
        <v>33</v>
      </c>
      <c r="G345" s="8">
        <v>41</v>
      </c>
      <c r="H345" s="8">
        <v>91</v>
      </c>
    </row>
    <row r="346" spans="1:11" ht="13.5" customHeight="1">
      <c r="A346" s="9" t="s">
        <v>21</v>
      </c>
      <c r="B346" s="8">
        <v>266</v>
      </c>
      <c r="C346" s="8">
        <v>7</v>
      </c>
      <c r="D346" s="8">
        <v>66</v>
      </c>
      <c r="E346" s="8">
        <v>37</v>
      </c>
      <c r="F346" s="8">
        <v>36</v>
      </c>
      <c r="G346" s="8">
        <v>31</v>
      </c>
      <c r="H346" s="8">
        <v>89</v>
      </c>
    </row>
    <row r="347" spans="1:11" ht="13.5" customHeight="1">
      <c r="A347" s="9" t="s">
        <v>112</v>
      </c>
      <c r="B347" s="8">
        <v>78</v>
      </c>
      <c r="C347" s="8">
        <v>1</v>
      </c>
      <c r="D347" s="8">
        <v>7</v>
      </c>
      <c r="E347" s="8">
        <v>5</v>
      </c>
      <c r="F347" s="8">
        <v>6</v>
      </c>
      <c r="G347" s="8">
        <v>13</v>
      </c>
      <c r="H347" s="8">
        <v>46</v>
      </c>
    </row>
    <row r="348" spans="1:11" ht="13.5" customHeight="1">
      <c r="A348" s="37" t="s">
        <v>22</v>
      </c>
      <c r="B348" s="36"/>
      <c r="C348" s="36"/>
      <c r="D348" s="36"/>
      <c r="E348" s="36"/>
      <c r="F348" s="36"/>
      <c r="G348" s="36"/>
      <c r="H348" s="36"/>
    </row>
    <row r="349" spans="1:11" ht="13.5" customHeight="1">
      <c r="A349" s="9" t="s">
        <v>23</v>
      </c>
      <c r="B349" s="8">
        <v>112</v>
      </c>
      <c r="C349" s="8">
        <v>14</v>
      </c>
      <c r="D349" s="8">
        <v>90</v>
      </c>
      <c r="E349" s="8">
        <v>6</v>
      </c>
      <c r="F349" s="8">
        <v>1</v>
      </c>
      <c r="G349" s="8">
        <v>0</v>
      </c>
      <c r="H349" s="8">
        <v>1</v>
      </c>
    </row>
    <row r="350" spans="1:11" ht="13.5" customHeight="1">
      <c r="A350" s="9" t="s">
        <v>24</v>
      </c>
      <c r="B350" s="8">
        <v>1473</v>
      </c>
      <c r="C350" s="8">
        <v>63</v>
      </c>
      <c r="D350" s="8">
        <v>1166</v>
      </c>
      <c r="E350" s="8">
        <v>173</v>
      </c>
      <c r="F350" s="8">
        <v>57</v>
      </c>
      <c r="G350" s="8">
        <v>9</v>
      </c>
      <c r="H350" s="8">
        <v>5</v>
      </c>
    </row>
    <row r="351" spans="1:11" ht="13.5" customHeight="1">
      <c r="A351" s="9" t="s">
        <v>25</v>
      </c>
      <c r="B351" s="8">
        <v>1985</v>
      </c>
      <c r="C351" s="8">
        <v>17</v>
      </c>
      <c r="D351" s="8">
        <v>1108</v>
      </c>
      <c r="E351" s="8">
        <v>277</v>
      </c>
      <c r="F351" s="8">
        <v>384</v>
      </c>
      <c r="G351" s="8">
        <v>156</v>
      </c>
      <c r="H351" s="8">
        <v>43</v>
      </c>
    </row>
    <row r="352" spans="1:11" ht="13.5" customHeight="1">
      <c r="A352" s="9" t="s">
        <v>26</v>
      </c>
      <c r="B352" s="8">
        <v>1495</v>
      </c>
      <c r="C352" s="8">
        <v>26</v>
      </c>
      <c r="D352" s="8">
        <v>131</v>
      </c>
      <c r="E352" s="8">
        <v>66</v>
      </c>
      <c r="F352" s="8">
        <v>350</v>
      </c>
      <c r="G352" s="8">
        <v>495</v>
      </c>
      <c r="H352" s="8">
        <v>427</v>
      </c>
    </row>
    <row r="353" spans="1:10" ht="13.5" customHeight="1">
      <c r="A353" s="9" t="s">
        <v>27</v>
      </c>
      <c r="B353" s="8">
        <v>1674</v>
      </c>
      <c r="C353" s="8">
        <v>21</v>
      </c>
      <c r="D353" s="8">
        <v>46</v>
      </c>
      <c r="E353" s="8">
        <v>23</v>
      </c>
      <c r="F353" s="8">
        <v>173</v>
      </c>
      <c r="G353" s="8">
        <v>407</v>
      </c>
      <c r="H353" s="8">
        <v>1004</v>
      </c>
    </row>
    <row r="354" spans="1:10" ht="13.5" customHeight="1">
      <c r="A354" s="9" t="s">
        <v>28</v>
      </c>
      <c r="B354" s="8">
        <v>1078</v>
      </c>
      <c r="C354" s="8">
        <v>14</v>
      </c>
      <c r="D354" s="8">
        <v>27</v>
      </c>
      <c r="E354" s="8">
        <v>18</v>
      </c>
      <c r="F354" s="8">
        <v>68</v>
      </c>
      <c r="G354" s="8">
        <v>130</v>
      </c>
      <c r="H354" s="8">
        <v>821</v>
      </c>
    </row>
    <row r="355" spans="1:10" ht="13.5" customHeight="1">
      <c r="A355" s="9" t="s">
        <v>29</v>
      </c>
      <c r="B355" s="8">
        <v>672</v>
      </c>
      <c r="C355" s="8">
        <v>4</v>
      </c>
      <c r="D355" s="8">
        <v>26</v>
      </c>
      <c r="E355" s="8">
        <v>9</v>
      </c>
      <c r="F355" s="8">
        <v>29</v>
      </c>
      <c r="G355" s="8">
        <v>47</v>
      </c>
      <c r="H355" s="8">
        <v>557</v>
      </c>
    </row>
    <row r="356" spans="1:10" ht="13.5" customHeight="1">
      <c r="A356" s="9" t="s">
        <v>30</v>
      </c>
      <c r="B356" s="8">
        <v>485</v>
      </c>
      <c r="C356" s="8">
        <v>2</v>
      </c>
      <c r="D356" s="8">
        <v>11</v>
      </c>
      <c r="E356" s="8">
        <v>4</v>
      </c>
      <c r="F356" s="8">
        <v>11</v>
      </c>
      <c r="G356" s="8">
        <v>30</v>
      </c>
      <c r="H356" s="8">
        <v>427</v>
      </c>
    </row>
    <row r="357" spans="1:10" ht="13.5" customHeight="1">
      <c r="A357" s="161"/>
      <c r="B357" s="161"/>
      <c r="C357" s="161"/>
      <c r="D357" s="161"/>
      <c r="E357" s="161"/>
      <c r="F357" s="161"/>
      <c r="G357" s="161"/>
      <c r="H357" s="161"/>
    </row>
    <row r="358" spans="1:10" ht="13.5" customHeight="1">
      <c r="A358" s="237" t="s">
        <v>117</v>
      </c>
      <c r="B358" s="237"/>
      <c r="C358" s="237"/>
      <c r="D358" s="237"/>
      <c r="E358" s="237"/>
      <c r="F358" s="237"/>
      <c r="G358" s="237"/>
      <c r="H358" s="237"/>
    </row>
    <row r="359" spans="1:10" ht="13.5" customHeight="1">
      <c r="A359" s="237"/>
      <c r="B359" s="237"/>
      <c r="C359" s="237"/>
      <c r="D359" s="237"/>
      <c r="E359" s="237"/>
      <c r="F359" s="237"/>
      <c r="G359" s="237"/>
      <c r="H359" s="237"/>
    </row>
    <row r="360" spans="1:10" ht="13.5" customHeight="1">
      <c r="A360" s="9" t="s">
        <v>118</v>
      </c>
      <c r="B360" s="161"/>
      <c r="C360" s="161"/>
      <c r="D360" s="161"/>
      <c r="E360" s="161"/>
      <c r="F360" s="161"/>
      <c r="G360" s="8"/>
      <c r="H360" s="8"/>
    </row>
    <row r="361" spans="1:10" ht="13.5" customHeight="1">
      <c r="A361" s="9"/>
      <c r="B361" s="161"/>
      <c r="C361" s="161"/>
      <c r="D361" s="161"/>
      <c r="E361" s="161"/>
      <c r="F361" s="161"/>
      <c r="G361" s="8"/>
      <c r="H361" s="8"/>
    </row>
    <row r="362" spans="1:10" ht="13.5" customHeight="1">
      <c r="A362" s="26" t="s">
        <v>113</v>
      </c>
      <c r="B362" s="8"/>
      <c r="C362" s="8"/>
      <c r="D362" s="8"/>
      <c r="E362" s="8"/>
      <c r="F362" s="8"/>
      <c r="G362" s="8"/>
      <c r="H362" s="8"/>
    </row>
    <row r="365" spans="1:10" ht="13.5" customHeight="1">
      <c r="A365" s="24" t="s">
        <v>204</v>
      </c>
      <c r="B365" s="94"/>
      <c r="C365" s="94"/>
      <c r="D365" s="94"/>
      <c r="E365" s="94"/>
      <c r="F365" s="95"/>
      <c r="G365" s="94"/>
      <c r="H365" s="96"/>
    </row>
    <row r="366" spans="1:10" ht="13.5" customHeight="1">
      <c r="A366" s="13" t="s">
        <v>1</v>
      </c>
      <c r="B366" s="14"/>
      <c r="C366" s="14"/>
      <c r="D366" s="13"/>
      <c r="E366" s="13"/>
      <c r="F366" s="13"/>
      <c r="G366" s="13"/>
      <c r="H366" s="35"/>
    </row>
    <row r="367" spans="1:10" ht="13.5" customHeight="1">
      <c r="A367" s="13"/>
      <c r="B367" s="14"/>
      <c r="C367" s="14"/>
      <c r="D367" s="13"/>
      <c r="E367" s="13"/>
      <c r="F367" s="13"/>
      <c r="G367" s="13"/>
      <c r="H367" s="25"/>
    </row>
    <row r="368" spans="1:10" ht="13.5" customHeight="1">
      <c r="A368" s="31"/>
      <c r="B368" s="32"/>
      <c r="C368" s="33"/>
      <c r="D368" s="33"/>
      <c r="E368" s="33"/>
      <c r="F368" s="33"/>
      <c r="G368" s="33"/>
      <c r="H368" s="34" t="s">
        <v>83</v>
      </c>
      <c r="J368" s="170" t="s">
        <v>126</v>
      </c>
    </row>
    <row r="369" spans="1:8" ht="13.5" customHeight="1">
      <c r="A369" s="30"/>
      <c r="B369" s="38" t="s">
        <v>2</v>
      </c>
      <c r="C369" s="31">
        <v>0</v>
      </c>
      <c r="D369" s="31">
        <v>1</v>
      </c>
      <c r="E369" s="31">
        <v>2</v>
      </c>
      <c r="F369" s="38" t="s">
        <v>3</v>
      </c>
      <c r="G369" s="38" t="s">
        <v>4</v>
      </c>
      <c r="H369" s="38" t="s">
        <v>64</v>
      </c>
    </row>
    <row r="370" spans="1:8" ht="13.5" customHeight="1">
      <c r="A370" s="37" t="s">
        <v>2</v>
      </c>
      <c r="B370" s="36">
        <v>8905</v>
      </c>
      <c r="C370" s="36">
        <v>171</v>
      </c>
      <c r="D370" s="36">
        <v>2589</v>
      </c>
      <c r="E370" s="36">
        <v>574</v>
      </c>
      <c r="F370" s="36">
        <v>1067</v>
      </c>
      <c r="G370" s="36">
        <v>1261</v>
      </c>
      <c r="H370" s="36">
        <v>3243</v>
      </c>
    </row>
    <row r="371" spans="1:8" ht="13.5" customHeight="1">
      <c r="A371" s="37" t="s">
        <v>5</v>
      </c>
      <c r="B371" s="36"/>
      <c r="C371" s="36"/>
      <c r="D371" s="36"/>
      <c r="E371" s="36"/>
      <c r="F371" s="36"/>
      <c r="G371" s="36"/>
      <c r="H371" s="36"/>
    </row>
    <row r="372" spans="1:8" ht="13.5" customHeight="1">
      <c r="A372" s="9" t="s">
        <v>6</v>
      </c>
      <c r="B372" s="8">
        <v>2228</v>
      </c>
      <c r="C372" s="8">
        <v>0</v>
      </c>
      <c r="D372" s="8">
        <v>2228</v>
      </c>
      <c r="E372" s="8">
        <v>0</v>
      </c>
      <c r="F372" s="8">
        <v>0</v>
      </c>
      <c r="G372" s="8">
        <v>0</v>
      </c>
      <c r="H372" s="8">
        <v>0</v>
      </c>
    </row>
    <row r="373" spans="1:8" ht="13.5" customHeight="1">
      <c r="A373" s="9" t="s">
        <v>7</v>
      </c>
      <c r="B373" s="8">
        <v>4010</v>
      </c>
      <c r="C373" s="8">
        <v>0</v>
      </c>
      <c r="D373" s="8">
        <v>0</v>
      </c>
      <c r="E373" s="8">
        <v>430</v>
      </c>
      <c r="F373" s="8">
        <v>728</v>
      </c>
      <c r="G373" s="8">
        <v>793</v>
      </c>
      <c r="H373" s="8">
        <v>2059</v>
      </c>
    </row>
    <row r="374" spans="1:8" ht="13.5" customHeight="1">
      <c r="A374" s="9" t="s">
        <v>8</v>
      </c>
      <c r="B374" s="8">
        <v>2122</v>
      </c>
      <c r="C374" s="8">
        <v>0</v>
      </c>
      <c r="D374" s="8">
        <v>124</v>
      </c>
      <c r="E374" s="8">
        <v>95</v>
      </c>
      <c r="F374" s="8">
        <v>297</v>
      </c>
      <c r="G374" s="8">
        <v>445</v>
      </c>
      <c r="H374" s="8">
        <v>1161</v>
      </c>
    </row>
    <row r="375" spans="1:8" ht="13.5" customHeight="1">
      <c r="A375" s="10" t="s">
        <v>65</v>
      </c>
      <c r="B375" s="8">
        <v>545</v>
      </c>
      <c r="C375" s="8">
        <v>171</v>
      </c>
      <c r="D375" s="8">
        <v>237</v>
      </c>
      <c r="E375" s="8">
        <v>49</v>
      </c>
      <c r="F375" s="8">
        <v>42</v>
      </c>
      <c r="G375" s="8">
        <v>23</v>
      </c>
      <c r="H375" s="8">
        <v>23</v>
      </c>
    </row>
    <row r="376" spans="1:8" ht="13.5" customHeight="1">
      <c r="A376" s="37" t="s">
        <v>9</v>
      </c>
      <c r="B376" s="36"/>
      <c r="C376" s="36"/>
      <c r="D376" s="36"/>
      <c r="E376" s="36"/>
      <c r="F376" s="36"/>
      <c r="G376" s="36"/>
      <c r="H376" s="36"/>
    </row>
    <row r="377" spans="1:8" ht="13.5" customHeight="1">
      <c r="A377" s="9" t="s">
        <v>10</v>
      </c>
      <c r="B377" s="8">
        <v>2171</v>
      </c>
      <c r="C377" s="8">
        <v>75</v>
      </c>
      <c r="D377" s="8">
        <v>499</v>
      </c>
      <c r="E377" s="8">
        <v>189</v>
      </c>
      <c r="F377" s="8">
        <v>544</v>
      </c>
      <c r="G377" s="8">
        <v>376</v>
      </c>
      <c r="H377" s="8">
        <v>488</v>
      </c>
    </row>
    <row r="378" spans="1:8" ht="13.5" customHeight="1">
      <c r="A378" s="9" t="s">
        <v>11</v>
      </c>
      <c r="B378" s="8">
        <v>2038</v>
      </c>
      <c r="C378" s="8">
        <v>21</v>
      </c>
      <c r="D378" s="8">
        <v>595</v>
      </c>
      <c r="E378" s="8">
        <v>146</v>
      </c>
      <c r="F378" s="8">
        <v>254</v>
      </c>
      <c r="G378" s="8">
        <v>371</v>
      </c>
      <c r="H378" s="8">
        <v>651</v>
      </c>
    </row>
    <row r="379" spans="1:8" ht="13.5" customHeight="1">
      <c r="A379" s="9" t="s">
        <v>12</v>
      </c>
      <c r="B379" s="8">
        <v>1631</v>
      </c>
      <c r="C379" s="8">
        <v>17</v>
      </c>
      <c r="D379" s="8">
        <v>412</v>
      </c>
      <c r="E379" s="8">
        <v>85</v>
      </c>
      <c r="F379" s="8">
        <v>82</v>
      </c>
      <c r="G379" s="8">
        <v>173</v>
      </c>
      <c r="H379" s="8">
        <v>862</v>
      </c>
    </row>
    <row r="380" spans="1:8" ht="13.5" customHeight="1">
      <c r="A380" s="9" t="s">
        <v>13</v>
      </c>
      <c r="B380" s="8">
        <v>844</v>
      </c>
      <c r="C380" s="8">
        <v>17</v>
      </c>
      <c r="D380" s="8">
        <v>155</v>
      </c>
      <c r="E380" s="8">
        <v>32</v>
      </c>
      <c r="F380" s="8">
        <v>51</v>
      </c>
      <c r="G380" s="8">
        <v>52</v>
      </c>
      <c r="H380" s="8">
        <v>537</v>
      </c>
    </row>
    <row r="381" spans="1:8" ht="13.5" customHeight="1">
      <c r="A381" s="9" t="s">
        <v>14</v>
      </c>
      <c r="B381" s="8">
        <v>477</v>
      </c>
      <c r="C381" s="8">
        <v>11</v>
      </c>
      <c r="D381" s="8">
        <v>133</v>
      </c>
      <c r="E381" s="8">
        <v>18</v>
      </c>
      <c r="F381" s="8">
        <v>18</v>
      </c>
      <c r="G381" s="8">
        <v>62</v>
      </c>
      <c r="H381" s="8">
        <v>235</v>
      </c>
    </row>
    <row r="382" spans="1:8" ht="13.5" customHeight="1">
      <c r="A382" s="9" t="s">
        <v>15</v>
      </c>
      <c r="B382" s="8">
        <v>248</v>
      </c>
      <c r="C382" s="8">
        <v>0</v>
      </c>
      <c r="D382" s="8">
        <v>112</v>
      </c>
      <c r="E382" s="8">
        <v>17</v>
      </c>
      <c r="F382" s="8">
        <v>4</v>
      </c>
      <c r="G382" s="8">
        <v>32</v>
      </c>
      <c r="H382" s="8">
        <v>83</v>
      </c>
    </row>
    <row r="383" spans="1:8" ht="13.5" customHeight="1">
      <c r="A383" s="9" t="s">
        <v>16</v>
      </c>
      <c r="B383" s="8">
        <v>286</v>
      </c>
      <c r="C383" s="8">
        <v>7</v>
      </c>
      <c r="D383" s="8">
        <v>129</v>
      </c>
      <c r="E383" s="8">
        <v>6</v>
      </c>
      <c r="F383" s="8">
        <v>7</v>
      </c>
      <c r="G383" s="8">
        <v>63</v>
      </c>
      <c r="H383" s="8">
        <v>74</v>
      </c>
    </row>
    <row r="384" spans="1:8" ht="13.5" customHeight="1">
      <c r="A384" s="9" t="s">
        <v>17</v>
      </c>
      <c r="B384" s="8">
        <v>179</v>
      </c>
      <c r="C384" s="8">
        <v>6</v>
      </c>
      <c r="D384" s="8">
        <v>91</v>
      </c>
      <c r="E384" s="8">
        <v>9</v>
      </c>
      <c r="F384" s="8">
        <v>7</v>
      </c>
      <c r="G384" s="8">
        <v>29</v>
      </c>
      <c r="H384" s="8">
        <v>37</v>
      </c>
    </row>
    <row r="385" spans="1:8" ht="13.5" customHeight="1">
      <c r="A385" s="9" t="s">
        <v>18</v>
      </c>
      <c r="B385" s="8">
        <v>193</v>
      </c>
      <c r="C385" s="8">
        <v>0</v>
      </c>
      <c r="D385" s="8">
        <v>115</v>
      </c>
      <c r="E385" s="8">
        <v>7</v>
      </c>
      <c r="F385" s="8">
        <v>15</v>
      </c>
      <c r="G385" s="8">
        <v>14</v>
      </c>
      <c r="H385" s="8">
        <v>42</v>
      </c>
    </row>
    <row r="386" spans="1:8" ht="13.5" customHeight="1">
      <c r="A386" s="9" t="s">
        <v>19</v>
      </c>
      <c r="B386" s="8">
        <v>186</v>
      </c>
      <c r="C386" s="8">
        <v>2</v>
      </c>
      <c r="D386" s="8">
        <v>92</v>
      </c>
      <c r="E386" s="8">
        <v>9</v>
      </c>
      <c r="F386" s="8">
        <v>15</v>
      </c>
      <c r="G386" s="8">
        <v>16</v>
      </c>
      <c r="H386" s="8">
        <v>52</v>
      </c>
    </row>
    <row r="387" spans="1:8" ht="13.5" customHeight="1">
      <c r="A387" s="9" t="s">
        <v>20</v>
      </c>
      <c r="B387" s="8">
        <v>381</v>
      </c>
      <c r="C387" s="8">
        <v>8</v>
      </c>
      <c r="D387" s="8">
        <v>189</v>
      </c>
      <c r="E387" s="8">
        <v>19</v>
      </c>
      <c r="F387" s="8">
        <v>33</v>
      </c>
      <c r="G387" s="8">
        <v>41</v>
      </c>
      <c r="H387" s="8">
        <v>91</v>
      </c>
    </row>
    <row r="388" spans="1:8" ht="13.5" customHeight="1">
      <c r="A388" s="9" t="s">
        <v>21</v>
      </c>
      <c r="B388" s="8">
        <v>271</v>
      </c>
      <c r="C388" s="8">
        <v>7</v>
      </c>
      <c r="D388" s="8">
        <v>67</v>
      </c>
      <c r="E388" s="8">
        <v>37</v>
      </c>
      <c r="F388" s="8">
        <v>37</v>
      </c>
      <c r="G388" s="8">
        <v>32</v>
      </c>
      <c r="H388" s="8">
        <v>91</v>
      </c>
    </row>
    <row r="389" spans="1:8" ht="13.5" customHeight="1">
      <c r="A389" s="37" t="s">
        <v>22</v>
      </c>
      <c r="B389" s="36"/>
      <c r="C389" s="36"/>
      <c r="D389" s="36"/>
      <c r="E389" s="36"/>
      <c r="F389" s="36"/>
      <c r="G389" s="36"/>
      <c r="H389" s="36"/>
    </row>
    <row r="390" spans="1:8" ht="13.5" customHeight="1">
      <c r="A390" s="9" t="s">
        <v>23</v>
      </c>
      <c r="B390" s="8">
        <v>110</v>
      </c>
      <c r="C390" s="8">
        <v>14</v>
      </c>
      <c r="D390" s="8">
        <v>89</v>
      </c>
      <c r="E390" s="8">
        <v>5</v>
      </c>
      <c r="F390" s="8">
        <v>1</v>
      </c>
      <c r="G390" s="8">
        <v>0</v>
      </c>
      <c r="H390" s="8">
        <v>1</v>
      </c>
    </row>
    <row r="391" spans="1:8" ht="13.5" customHeight="1">
      <c r="A391" s="9" t="s">
        <v>24</v>
      </c>
      <c r="B391" s="8">
        <v>1478</v>
      </c>
      <c r="C391" s="8">
        <v>65</v>
      </c>
      <c r="D391" s="8">
        <v>1172</v>
      </c>
      <c r="E391" s="8">
        <v>172</v>
      </c>
      <c r="F391" s="8">
        <v>56</v>
      </c>
      <c r="G391" s="8">
        <v>9</v>
      </c>
      <c r="H391" s="8">
        <v>4</v>
      </c>
    </row>
    <row r="392" spans="1:8" ht="13.5" customHeight="1">
      <c r="A392" s="9" t="s">
        <v>25</v>
      </c>
      <c r="B392" s="8">
        <v>1976</v>
      </c>
      <c r="C392" s="8">
        <v>21</v>
      </c>
      <c r="D392" s="8">
        <v>1102</v>
      </c>
      <c r="E392" s="8">
        <v>275</v>
      </c>
      <c r="F392" s="8">
        <v>384</v>
      </c>
      <c r="G392" s="8">
        <v>152</v>
      </c>
      <c r="H392" s="8">
        <v>42</v>
      </c>
    </row>
    <row r="393" spans="1:8" ht="13.5" customHeight="1">
      <c r="A393" s="9" t="s">
        <v>26</v>
      </c>
      <c r="B393" s="8">
        <v>1479</v>
      </c>
      <c r="C393" s="8">
        <v>26</v>
      </c>
      <c r="D393" s="8">
        <v>126</v>
      </c>
      <c r="E393" s="8">
        <v>69</v>
      </c>
      <c r="F393" s="8">
        <v>345</v>
      </c>
      <c r="G393" s="8">
        <v>493</v>
      </c>
      <c r="H393" s="8">
        <v>420</v>
      </c>
    </row>
    <row r="394" spans="1:8" ht="13.5" customHeight="1">
      <c r="A394" s="9" t="s">
        <v>27</v>
      </c>
      <c r="B394" s="8">
        <v>1654</v>
      </c>
      <c r="C394" s="8">
        <v>23</v>
      </c>
      <c r="D394" s="8">
        <v>41</v>
      </c>
      <c r="E394" s="8">
        <v>22</v>
      </c>
      <c r="F394" s="8">
        <v>172</v>
      </c>
      <c r="G394" s="8">
        <v>407</v>
      </c>
      <c r="H394" s="8">
        <v>989</v>
      </c>
    </row>
    <row r="395" spans="1:8" ht="13.5" customHeight="1">
      <c r="A395" s="9" t="s">
        <v>28</v>
      </c>
      <c r="B395" s="8">
        <v>1071</v>
      </c>
      <c r="C395" s="8">
        <v>16</v>
      </c>
      <c r="D395" s="8">
        <v>24</v>
      </c>
      <c r="E395" s="8">
        <v>18</v>
      </c>
      <c r="F395" s="8">
        <v>68</v>
      </c>
      <c r="G395" s="8">
        <v>127</v>
      </c>
      <c r="H395" s="8">
        <v>818</v>
      </c>
    </row>
    <row r="396" spans="1:8" ht="13.5" customHeight="1">
      <c r="A396" s="9" t="s">
        <v>29</v>
      </c>
      <c r="B396" s="8">
        <v>657</v>
      </c>
      <c r="C396" s="8">
        <v>5</v>
      </c>
      <c r="D396" s="8">
        <v>24</v>
      </c>
      <c r="E396" s="8">
        <v>9</v>
      </c>
      <c r="F396" s="8">
        <v>30</v>
      </c>
      <c r="G396" s="8">
        <v>43</v>
      </c>
      <c r="H396" s="8">
        <v>546</v>
      </c>
    </row>
    <row r="397" spans="1:8" ht="13.5" customHeight="1">
      <c r="A397" s="9" t="s">
        <v>30</v>
      </c>
      <c r="B397" s="8">
        <v>480</v>
      </c>
      <c r="C397" s="8">
        <v>1</v>
      </c>
      <c r="D397" s="8">
        <v>11</v>
      </c>
      <c r="E397" s="8">
        <v>4</v>
      </c>
      <c r="F397" s="8">
        <v>11</v>
      </c>
      <c r="G397" s="8">
        <v>30</v>
      </c>
      <c r="H397" s="8">
        <v>423</v>
      </c>
    </row>
    <row r="398" spans="1:8" ht="13.5" customHeight="1">
      <c r="A398" s="37" t="s">
        <v>31</v>
      </c>
      <c r="B398" s="36"/>
      <c r="C398" s="36"/>
      <c r="D398" s="36"/>
      <c r="E398" s="36"/>
      <c r="F398" s="36"/>
      <c r="G398" s="36"/>
      <c r="H398" s="36"/>
    </row>
    <row r="399" spans="1:8" ht="13.5" customHeight="1">
      <c r="A399" s="9" t="s">
        <v>32</v>
      </c>
      <c r="B399" s="8">
        <v>95</v>
      </c>
      <c r="C399" s="8">
        <v>0</v>
      </c>
      <c r="D399" s="8">
        <v>51</v>
      </c>
      <c r="E399" s="8">
        <v>7</v>
      </c>
      <c r="F399" s="8">
        <v>17</v>
      </c>
      <c r="G399" s="8">
        <v>9</v>
      </c>
      <c r="H399" s="8">
        <v>11</v>
      </c>
    </row>
    <row r="400" spans="1:8" ht="13.5" customHeight="1">
      <c r="A400" s="9" t="s">
        <v>33</v>
      </c>
      <c r="B400" s="8">
        <v>147</v>
      </c>
      <c r="C400" s="8">
        <v>1</v>
      </c>
      <c r="D400" s="8">
        <v>26</v>
      </c>
      <c r="E400" s="8">
        <v>31</v>
      </c>
      <c r="F400" s="8">
        <v>41</v>
      </c>
      <c r="G400" s="8">
        <v>17</v>
      </c>
      <c r="H400" s="8">
        <v>31</v>
      </c>
    </row>
    <row r="401" spans="1:10" ht="13.5" customHeight="1">
      <c r="A401" s="9" t="s">
        <v>34</v>
      </c>
      <c r="B401" s="8">
        <v>6421</v>
      </c>
      <c r="C401" s="8">
        <v>89</v>
      </c>
      <c r="D401" s="8">
        <v>2149</v>
      </c>
      <c r="E401" s="8">
        <v>424</v>
      </c>
      <c r="F401" s="8">
        <v>794</v>
      </c>
      <c r="G401" s="8">
        <v>837</v>
      </c>
      <c r="H401" s="8">
        <v>2128</v>
      </c>
    </row>
    <row r="402" spans="1:10" ht="13.5" customHeight="1">
      <c r="A402" s="9" t="s">
        <v>35</v>
      </c>
      <c r="B402" s="8">
        <v>1166</v>
      </c>
      <c r="C402" s="8">
        <v>32</v>
      </c>
      <c r="D402" s="8">
        <v>156</v>
      </c>
      <c r="E402" s="8">
        <v>55</v>
      </c>
      <c r="F402" s="8">
        <v>91</v>
      </c>
      <c r="G402" s="8">
        <v>266</v>
      </c>
      <c r="H402" s="8">
        <v>566</v>
      </c>
    </row>
    <row r="403" spans="1:10" ht="13.5" customHeight="1">
      <c r="A403" s="9" t="s">
        <v>36</v>
      </c>
      <c r="B403" s="8">
        <v>1044</v>
      </c>
      <c r="C403" s="8">
        <v>47</v>
      </c>
      <c r="D403" s="8">
        <v>190</v>
      </c>
      <c r="E403" s="8">
        <v>54</v>
      </c>
      <c r="F403" s="8">
        <v>122</v>
      </c>
      <c r="G403" s="8">
        <v>128</v>
      </c>
      <c r="H403" s="8">
        <v>503</v>
      </c>
    </row>
    <row r="404" spans="1:10" ht="13.5" customHeight="1">
      <c r="A404" s="9" t="s">
        <v>37</v>
      </c>
      <c r="B404" s="8">
        <v>31</v>
      </c>
      <c r="C404" s="8">
        <v>1</v>
      </c>
      <c r="D404" s="8">
        <v>17</v>
      </c>
      <c r="E404" s="8">
        <v>3</v>
      </c>
      <c r="F404" s="8">
        <v>2</v>
      </c>
      <c r="G404" s="8">
        <v>4</v>
      </c>
      <c r="H404" s="8">
        <v>4</v>
      </c>
    </row>
    <row r="405" spans="1:10" ht="13.5" customHeight="1">
      <c r="A405" s="9" t="s">
        <v>38</v>
      </c>
      <c r="B405" s="8">
        <v>1</v>
      </c>
      <c r="C405" s="8">
        <v>1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</row>
    <row r="406" spans="1:10" ht="13.5" customHeight="1">
      <c r="A406" s="9"/>
      <c r="B406" s="8"/>
      <c r="C406" s="8"/>
      <c r="D406" s="8"/>
      <c r="E406" s="8"/>
      <c r="F406" s="8"/>
      <c r="G406" s="8"/>
      <c r="H406" s="8"/>
    </row>
    <row r="407" spans="1:10" ht="13.5" customHeight="1">
      <c r="A407" s="10" t="s">
        <v>84</v>
      </c>
      <c r="B407" s="8"/>
      <c r="C407" s="8"/>
      <c r="D407" s="8"/>
      <c r="E407" s="8"/>
      <c r="F407" s="8"/>
      <c r="G407" s="8"/>
      <c r="H407" s="8"/>
    </row>
    <row r="408" spans="1:10" ht="13.5" customHeight="1">
      <c r="A408" s="10"/>
      <c r="B408" s="8"/>
      <c r="C408" s="8"/>
      <c r="D408" s="8"/>
      <c r="E408" s="8"/>
      <c r="F408" s="8"/>
      <c r="G408" s="8"/>
      <c r="H408" s="8"/>
    </row>
    <row r="409" spans="1:10" ht="13.5" customHeight="1">
      <c r="A409" s="26" t="s">
        <v>102</v>
      </c>
      <c r="B409" s="13"/>
      <c r="C409" s="13"/>
      <c r="D409" s="13"/>
      <c r="E409" s="13"/>
      <c r="F409" s="13"/>
      <c r="G409" s="13"/>
      <c r="H409" s="13"/>
    </row>
    <row r="412" spans="1:10" ht="13.5" customHeight="1">
      <c r="A412" s="24" t="s">
        <v>205</v>
      </c>
      <c r="B412" s="94"/>
      <c r="C412" s="94"/>
      <c r="D412" s="94"/>
      <c r="E412" s="94"/>
      <c r="F412" s="95"/>
      <c r="G412" s="94"/>
      <c r="H412" s="96"/>
    </row>
    <row r="413" spans="1:10" ht="13.5" customHeight="1">
      <c r="A413" s="13" t="s">
        <v>1</v>
      </c>
      <c r="B413" s="14"/>
      <c r="C413" s="14"/>
      <c r="D413" s="13"/>
      <c r="E413" s="13"/>
      <c r="F413" s="13"/>
      <c r="G413" s="13"/>
      <c r="H413" s="35"/>
    </row>
    <row r="414" spans="1:10" ht="13.5" customHeight="1">
      <c r="A414" s="13"/>
      <c r="B414" s="14"/>
      <c r="C414" s="14"/>
      <c r="D414" s="13"/>
      <c r="E414" s="13"/>
      <c r="F414" s="13"/>
      <c r="G414" s="13"/>
      <c r="H414" s="25"/>
    </row>
    <row r="415" spans="1:10" ht="13.5" customHeight="1">
      <c r="A415" s="31"/>
      <c r="B415" s="32"/>
      <c r="C415" s="33"/>
      <c r="D415" s="33"/>
      <c r="E415" s="33"/>
      <c r="F415" s="33"/>
      <c r="G415" s="33"/>
      <c r="H415" s="34" t="s">
        <v>83</v>
      </c>
      <c r="J415" s="170" t="s">
        <v>126</v>
      </c>
    </row>
    <row r="416" spans="1:10" ht="13.5" customHeight="1">
      <c r="A416" s="30"/>
      <c r="B416" s="38" t="s">
        <v>2</v>
      </c>
      <c r="C416" s="31">
        <v>0</v>
      </c>
      <c r="D416" s="31">
        <v>1</v>
      </c>
      <c r="E416" s="31">
        <v>2</v>
      </c>
      <c r="F416" s="38" t="s">
        <v>3</v>
      </c>
      <c r="G416" s="38" t="s">
        <v>4</v>
      </c>
      <c r="H416" s="38" t="s">
        <v>64</v>
      </c>
    </row>
    <row r="417" spans="1:8" ht="13.5" customHeight="1">
      <c r="A417" s="37" t="s">
        <v>2</v>
      </c>
      <c r="B417" s="36">
        <v>8880</v>
      </c>
      <c r="C417" s="36">
        <v>167</v>
      </c>
      <c r="D417" s="36">
        <v>2612</v>
      </c>
      <c r="E417" s="36">
        <v>564</v>
      </c>
      <c r="F417" s="36">
        <v>1058</v>
      </c>
      <c r="G417" s="36">
        <v>1262</v>
      </c>
      <c r="H417" s="36">
        <v>3217</v>
      </c>
    </row>
    <row r="418" spans="1:8" ht="13.5" customHeight="1">
      <c r="A418" s="37" t="s">
        <v>5</v>
      </c>
      <c r="B418" s="36"/>
      <c r="C418" s="36"/>
      <c r="D418" s="36"/>
      <c r="E418" s="36"/>
      <c r="F418" s="36"/>
      <c r="G418" s="36"/>
      <c r="H418" s="36"/>
    </row>
    <row r="419" spans="1:8" ht="13.5" customHeight="1">
      <c r="A419" s="9" t="s">
        <v>6</v>
      </c>
      <c r="B419" s="8">
        <v>2236</v>
      </c>
      <c r="C419" s="8">
        <v>0</v>
      </c>
      <c r="D419" s="8">
        <v>2236</v>
      </c>
      <c r="E419" s="8">
        <v>0</v>
      </c>
      <c r="F419" s="8">
        <v>0</v>
      </c>
      <c r="G419" s="8">
        <v>0</v>
      </c>
      <c r="H419" s="8">
        <v>0</v>
      </c>
    </row>
    <row r="420" spans="1:8" ht="13.5" customHeight="1">
      <c r="A420" s="9" t="s">
        <v>7</v>
      </c>
      <c r="B420" s="8">
        <v>3965</v>
      </c>
      <c r="C420" s="8">
        <v>0</v>
      </c>
      <c r="D420" s="8">
        <v>0</v>
      </c>
      <c r="E420" s="8">
        <v>417</v>
      </c>
      <c r="F420" s="8">
        <v>719</v>
      </c>
      <c r="G420" s="8">
        <v>793</v>
      </c>
      <c r="H420" s="8">
        <v>2036</v>
      </c>
    </row>
    <row r="421" spans="1:8" ht="13.5" customHeight="1">
      <c r="A421" s="9" t="s">
        <v>8</v>
      </c>
      <c r="B421" s="8">
        <v>2124</v>
      </c>
      <c r="C421" s="8">
        <v>0</v>
      </c>
      <c r="D421" s="8">
        <v>131</v>
      </c>
      <c r="E421" s="8">
        <v>96</v>
      </c>
      <c r="F421" s="8">
        <v>294</v>
      </c>
      <c r="G421" s="8">
        <v>446</v>
      </c>
      <c r="H421" s="8">
        <v>1157</v>
      </c>
    </row>
    <row r="422" spans="1:8" ht="13.5" customHeight="1">
      <c r="A422" s="10" t="s">
        <v>65</v>
      </c>
      <c r="B422" s="8">
        <v>555</v>
      </c>
      <c r="C422" s="8">
        <v>167</v>
      </c>
      <c r="D422" s="8">
        <v>245</v>
      </c>
      <c r="E422" s="8">
        <v>51</v>
      </c>
      <c r="F422" s="8">
        <v>45</v>
      </c>
      <c r="G422" s="8">
        <v>23</v>
      </c>
      <c r="H422" s="8">
        <v>24</v>
      </c>
    </row>
    <row r="423" spans="1:8" ht="13.5" customHeight="1">
      <c r="A423" s="37" t="s">
        <v>9</v>
      </c>
      <c r="B423" s="36"/>
      <c r="C423" s="36"/>
      <c r="D423" s="36"/>
      <c r="E423" s="36"/>
      <c r="F423" s="36"/>
      <c r="G423" s="36"/>
      <c r="H423" s="36"/>
    </row>
    <row r="424" spans="1:8" ht="13.5" customHeight="1">
      <c r="A424" s="9" t="s">
        <v>10</v>
      </c>
      <c r="B424" s="8">
        <v>2170</v>
      </c>
      <c r="C424" s="8">
        <v>77</v>
      </c>
      <c r="D424" s="8">
        <v>502</v>
      </c>
      <c r="E424" s="8">
        <v>189</v>
      </c>
      <c r="F424" s="8">
        <v>545</v>
      </c>
      <c r="G424" s="8">
        <v>374</v>
      </c>
      <c r="H424" s="8">
        <v>483</v>
      </c>
    </row>
    <row r="425" spans="1:8" ht="13.5" customHeight="1">
      <c r="A425" s="9" t="s">
        <v>11</v>
      </c>
      <c r="B425" s="8">
        <v>2052</v>
      </c>
      <c r="C425" s="8">
        <v>20</v>
      </c>
      <c r="D425" s="8">
        <v>606</v>
      </c>
      <c r="E425" s="8">
        <v>144</v>
      </c>
      <c r="F425" s="8">
        <v>254</v>
      </c>
      <c r="G425" s="8">
        <v>375</v>
      </c>
      <c r="H425" s="8">
        <v>653</v>
      </c>
    </row>
    <row r="426" spans="1:8" ht="13.5" customHeight="1">
      <c r="A426" s="9" t="s">
        <v>12</v>
      </c>
      <c r="B426" s="8">
        <v>1636</v>
      </c>
      <c r="C426" s="8">
        <v>13</v>
      </c>
      <c r="D426" s="8">
        <v>422</v>
      </c>
      <c r="E426" s="8">
        <v>87</v>
      </c>
      <c r="F426" s="8">
        <v>80</v>
      </c>
      <c r="G426" s="8">
        <v>174</v>
      </c>
      <c r="H426" s="8">
        <v>860</v>
      </c>
    </row>
    <row r="427" spans="1:8" ht="13.5" customHeight="1">
      <c r="A427" s="9" t="s">
        <v>13</v>
      </c>
      <c r="B427" s="8">
        <v>850</v>
      </c>
      <c r="C427" s="8">
        <v>17</v>
      </c>
      <c r="D427" s="8">
        <v>159</v>
      </c>
      <c r="E427" s="8">
        <v>32</v>
      </c>
      <c r="F427" s="8">
        <v>51</v>
      </c>
      <c r="G427" s="8">
        <v>53</v>
      </c>
      <c r="H427" s="8">
        <v>538</v>
      </c>
    </row>
    <row r="428" spans="1:8" ht="13.5" customHeight="1">
      <c r="A428" s="9" t="s">
        <v>14</v>
      </c>
      <c r="B428" s="8">
        <v>478</v>
      </c>
      <c r="C428" s="8">
        <v>11</v>
      </c>
      <c r="D428" s="8">
        <v>132</v>
      </c>
      <c r="E428" s="8">
        <v>19</v>
      </c>
      <c r="F428" s="8">
        <v>18</v>
      </c>
      <c r="G428" s="8">
        <v>61</v>
      </c>
      <c r="H428" s="8">
        <v>237</v>
      </c>
    </row>
    <row r="429" spans="1:8" ht="13.5" customHeight="1">
      <c r="A429" s="9" t="s">
        <v>15</v>
      </c>
      <c r="B429" s="8">
        <v>248</v>
      </c>
      <c r="C429" s="8">
        <v>0</v>
      </c>
      <c r="D429" s="8">
        <v>112</v>
      </c>
      <c r="E429" s="8">
        <v>17</v>
      </c>
      <c r="F429" s="8">
        <v>4</v>
      </c>
      <c r="G429" s="8">
        <v>32</v>
      </c>
      <c r="H429" s="8">
        <v>83</v>
      </c>
    </row>
    <row r="430" spans="1:8" ht="13.5" customHeight="1">
      <c r="A430" s="9" t="s">
        <v>16</v>
      </c>
      <c r="B430" s="8">
        <v>285</v>
      </c>
      <c r="C430" s="8">
        <v>6</v>
      </c>
      <c r="D430" s="8">
        <v>129</v>
      </c>
      <c r="E430" s="8">
        <v>6</v>
      </c>
      <c r="F430" s="8">
        <v>7</v>
      </c>
      <c r="G430" s="8">
        <v>63</v>
      </c>
      <c r="H430" s="8">
        <v>74</v>
      </c>
    </row>
    <row r="431" spans="1:8" ht="13.5" customHeight="1">
      <c r="A431" s="9" t="s">
        <v>17</v>
      </c>
      <c r="B431" s="8">
        <v>178</v>
      </c>
      <c r="C431" s="8">
        <v>6</v>
      </c>
      <c r="D431" s="8">
        <v>91</v>
      </c>
      <c r="E431" s="8">
        <v>8</v>
      </c>
      <c r="F431" s="8">
        <v>7</v>
      </c>
      <c r="G431" s="8">
        <v>29</v>
      </c>
      <c r="H431" s="8">
        <v>37</v>
      </c>
    </row>
    <row r="432" spans="1:8" ht="13.5" customHeight="1">
      <c r="A432" s="9" t="s">
        <v>18</v>
      </c>
      <c r="B432" s="8">
        <v>193</v>
      </c>
      <c r="C432" s="8">
        <v>0</v>
      </c>
      <c r="D432" s="8">
        <v>116</v>
      </c>
      <c r="E432" s="8">
        <v>6</v>
      </c>
      <c r="F432" s="8">
        <v>15</v>
      </c>
      <c r="G432" s="8">
        <v>14</v>
      </c>
      <c r="H432" s="8">
        <v>42</v>
      </c>
    </row>
    <row r="433" spans="1:8" ht="13.5" customHeight="1">
      <c r="A433" s="9" t="s">
        <v>19</v>
      </c>
      <c r="B433" s="8">
        <v>186</v>
      </c>
      <c r="C433" s="8">
        <v>2</v>
      </c>
      <c r="D433" s="8">
        <v>92</v>
      </c>
      <c r="E433" s="8">
        <v>9</v>
      </c>
      <c r="F433" s="8">
        <v>15</v>
      </c>
      <c r="G433" s="8">
        <v>16</v>
      </c>
      <c r="H433" s="8">
        <v>52</v>
      </c>
    </row>
    <row r="434" spans="1:8" ht="13.5" customHeight="1">
      <c r="A434" s="9" t="s">
        <v>20</v>
      </c>
      <c r="B434" s="8">
        <v>383</v>
      </c>
      <c r="C434" s="8">
        <v>9</v>
      </c>
      <c r="D434" s="8">
        <v>189</v>
      </c>
      <c r="E434" s="8">
        <v>19</v>
      </c>
      <c r="F434" s="8">
        <v>34</v>
      </c>
      <c r="G434" s="8">
        <v>41</v>
      </c>
      <c r="H434" s="8">
        <v>91</v>
      </c>
    </row>
    <row r="435" spans="1:8" ht="13.5" customHeight="1">
      <c r="A435" s="9" t="s">
        <v>132</v>
      </c>
      <c r="B435" s="8">
        <v>221</v>
      </c>
      <c r="C435" s="8">
        <v>6</v>
      </c>
      <c r="D435" s="8">
        <v>62</v>
      </c>
      <c r="E435" s="8">
        <v>28</v>
      </c>
      <c r="F435" s="8">
        <v>28</v>
      </c>
      <c r="G435" s="8">
        <v>30</v>
      </c>
      <c r="H435" s="8">
        <v>67</v>
      </c>
    </row>
    <row r="436" spans="1:8" ht="13.5" customHeight="1">
      <c r="A436" s="37" t="s">
        <v>22</v>
      </c>
      <c r="B436" s="36"/>
      <c r="C436" s="36"/>
      <c r="D436" s="36"/>
      <c r="E436" s="36"/>
      <c r="F436" s="36"/>
      <c r="G436" s="36"/>
      <c r="H436" s="36"/>
    </row>
    <row r="437" spans="1:8" ht="13.5" customHeight="1">
      <c r="A437" s="9" t="s">
        <v>23</v>
      </c>
      <c r="B437" s="8">
        <v>113</v>
      </c>
      <c r="C437" s="8">
        <v>16</v>
      </c>
      <c r="D437" s="8">
        <v>89</v>
      </c>
      <c r="E437" s="8">
        <v>6</v>
      </c>
      <c r="F437" s="8">
        <v>1</v>
      </c>
      <c r="G437" s="8">
        <v>0</v>
      </c>
      <c r="H437" s="8">
        <v>1</v>
      </c>
    </row>
    <row r="438" spans="1:8" ht="13.5" customHeight="1">
      <c r="A438" s="9" t="s">
        <v>24</v>
      </c>
      <c r="B438" s="8">
        <v>1482</v>
      </c>
      <c r="C438" s="8">
        <v>61</v>
      </c>
      <c r="D438" s="8">
        <v>1189</v>
      </c>
      <c r="E438" s="8">
        <v>166</v>
      </c>
      <c r="F438" s="8">
        <v>52</v>
      </c>
      <c r="G438" s="8">
        <v>9</v>
      </c>
      <c r="H438" s="8">
        <v>5</v>
      </c>
    </row>
    <row r="439" spans="1:8" ht="13.5" customHeight="1">
      <c r="A439" s="9" t="s">
        <v>25</v>
      </c>
      <c r="B439" s="8">
        <v>1962</v>
      </c>
      <c r="C439" s="8">
        <v>20</v>
      </c>
      <c r="D439" s="8">
        <v>1103</v>
      </c>
      <c r="E439" s="8">
        <v>270</v>
      </c>
      <c r="F439" s="8">
        <v>377</v>
      </c>
      <c r="G439" s="8">
        <v>150</v>
      </c>
      <c r="H439" s="8">
        <v>42</v>
      </c>
    </row>
    <row r="440" spans="1:8" ht="13.5" customHeight="1">
      <c r="A440" s="9" t="s">
        <v>26</v>
      </c>
      <c r="B440" s="8">
        <v>1483</v>
      </c>
      <c r="C440" s="8">
        <v>25</v>
      </c>
      <c r="D440" s="8">
        <v>126</v>
      </c>
      <c r="E440" s="8">
        <v>68</v>
      </c>
      <c r="F440" s="8">
        <v>347</v>
      </c>
      <c r="G440" s="8">
        <v>497</v>
      </c>
      <c r="H440" s="8">
        <v>420</v>
      </c>
    </row>
    <row r="441" spans="1:8" ht="13.5" customHeight="1">
      <c r="A441" s="9" t="s">
        <v>27</v>
      </c>
      <c r="B441" s="8">
        <v>1650</v>
      </c>
      <c r="C441" s="8">
        <v>24</v>
      </c>
      <c r="D441" s="8">
        <v>42</v>
      </c>
      <c r="E441" s="8">
        <v>22</v>
      </c>
      <c r="F441" s="8">
        <v>174</v>
      </c>
      <c r="G441" s="8">
        <v>408</v>
      </c>
      <c r="H441" s="8">
        <v>980</v>
      </c>
    </row>
    <row r="442" spans="1:8" ht="13.5" customHeight="1">
      <c r="A442" s="9" t="s">
        <v>28</v>
      </c>
      <c r="B442" s="8">
        <v>1062</v>
      </c>
      <c r="C442" s="8">
        <v>14</v>
      </c>
      <c r="D442" s="8">
        <v>25</v>
      </c>
      <c r="E442" s="8">
        <v>18</v>
      </c>
      <c r="F442" s="8">
        <v>66</v>
      </c>
      <c r="G442" s="8">
        <v>127</v>
      </c>
      <c r="H442" s="8">
        <v>812</v>
      </c>
    </row>
    <row r="443" spans="1:8" ht="13.5" customHeight="1">
      <c r="A443" s="9" t="s">
        <v>29</v>
      </c>
      <c r="B443" s="8">
        <v>648</v>
      </c>
      <c r="C443" s="8">
        <v>5</v>
      </c>
      <c r="D443" s="8">
        <v>25</v>
      </c>
      <c r="E443" s="8">
        <v>10</v>
      </c>
      <c r="F443" s="8">
        <v>30</v>
      </c>
      <c r="G443" s="8">
        <v>41</v>
      </c>
      <c r="H443" s="8">
        <v>537</v>
      </c>
    </row>
    <row r="444" spans="1:8" ht="13.5" customHeight="1">
      <c r="A444" s="9" t="s">
        <v>30</v>
      </c>
      <c r="B444" s="8">
        <v>480</v>
      </c>
      <c r="C444" s="8">
        <v>2</v>
      </c>
      <c r="D444" s="8">
        <v>13</v>
      </c>
      <c r="E444" s="8">
        <v>4</v>
      </c>
      <c r="F444" s="8">
        <v>11</v>
      </c>
      <c r="G444" s="8">
        <v>30</v>
      </c>
      <c r="H444" s="8">
        <v>420</v>
      </c>
    </row>
    <row r="445" spans="1:8" ht="13.5" customHeight="1">
      <c r="A445" s="37" t="s">
        <v>31</v>
      </c>
      <c r="B445" s="36"/>
      <c r="C445" s="36"/>
      <c r="D445" s="36"/>
      <c r="E445" s="36"/>
      <c r="F445" s="36"/>
      <c r="G445" s="36"/>
      <c r="H445" s="36"/>
    </row>
    <row r="446" spans="1:8" ht="13.5" customHeight="1">
      <c r="A446" s="9" t="s">
        <v>32</v>
      </c>
      <c r="B446" s="8">
        <v>97</v>
      </c>
      <c r="C446" s="8">
        <v>1</v>
      </c>
      <c r="D446" s="8">
        <v>51</v>
      </c>
      <c r="E446" s="8">
        <v>7</v>
      </c>
      <c r="F446" s="8">
        <v>18</v>
      </c>
      <c r="G446" s="8">
        <v>9</v>
      </c>
      <c r="H446" s="8">
        <v>11</v>
      </c>
    </row>
    <row r="447" spans="1:8" ht="13.5" customHeight="1">
      <c r="A447" s="9" t="s">
        <v>33</v>
      </c>
      <c r="B447" s="8">
        <v>150</v>
      </c>
      <c r="C447" s="8">
        <v>1</v>
      </c>
      <c r="D447" s="8">
        <v>26</v>
      </c>
      <c r="E447" s="8">
        <v>33</v>
      </c>
      <c r="F447" s="8">
        <v>42</v>
      </c>
      <c r="G447" s="8">
        <v>18</v>
      </c>
      <c r="H447" s="8">
        <v>30</v>
      </c>
    </row>
    <row r="448" spans="1:8" ht="13.5" customHeight="1">
      <c r="A448" s="9" t="s">
        <v>34</v>
      </c>
      <c r="B448" s="8">
        <v>6400</v>
      </c>
      <c r="C448" s="8">
        <v>86</v>
      </c>
      <c r="D448" s="8">
        <v>2171</v>
      </c>
      <c r="E448" s="8">
        <v>414</v>
      </c>
      <c r="F448" s="8">
        <v>785</v>
      </c>
      <c r="G448" s="8">
        <v>828</v>
      </c>
      <c r="H448" s="8">
        <v>2116</v>
      </c>
    </row>
    <row r="449" spans="1:10" ht="13.5" customHeight="1">
      <c r="A449" s="9" t="s">
        <v>35</v>
      </c>
      <c r="B449" s="8">
        <v>1138</v>
      </c>
      <c r="C449" s="8">
        <v>32</v>
      </c>
      <c r="D449" s="8">
        <v>157</v>
      </c>
      <c r="E449" s="8">
        <v>54</v>
      </c>
      <c r="F449" s="8">
        <v>91</v>
      </c>
      <c r="G449" s="8">
        <v>265</v>
      </c>
      <c r="H449" s="8">
        <v>539</v>
      </c>
    </row>
    <row r="450" spans="1:10" ht="13.5" customHeight="1">
      <c r="A450" s="9" t="s">
        <v>36</v>
      </c>
      <c r="B450" s="8">
        <v>1066</v>
      </c>
      <c r="C450" s="8">
        <v>45</v>
      </c>
      <c r="D450" s="8">
        <v>191</v>
      </c>
      <c r="E450" s="8">
        <v>53</v>
      </c>
      <c r="F450" s="8">
        <v>121</v>
      </c>
      <c r="G450" s="8">
        <v>139</v>
      </c>
      <c r="H450" s="8">
        <v>517</v>
      </c>
    </row>
    <row r="451" spans="1:10" ht="13.5" customHeight="1">
      <c r="A451" s="9" t="s">
        <v>37</v>
      </c>
      <c r="B451" s="8">
        <v>28</v>
      </c>
      <c r="C451" s="8">
        <v>1</v>
      </c>
      <c r="D451" s="8">
        <v>16</v>
      </c>
      <c r="E451" s="8">
        <v>3</v>
      </c>
      <c r="F451" s="8">
        <v>1</v>
      </c>
      <c r="G451" s="8">
        <v>3</v>
      </c>
      <c r="H451" s="8">
        <v>4</v>
      </c>
    </row>
    <row r="452" spans="1:10" ht="13.5" customHeight="1">
      <c r="A452" s="9" t="s">
        <v>38</v>
      </c>
      <c r="B452" s="8">
        <v>1</v>
      </c>
      <c r="C452" s="8">
        <v>1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</row>
    <row r="453" spans="1:10" ht="13.5" customHeight="1">
      <c r="A453" s="9"/>
      <c r="B453" s="8"/>
      <c r="C453" s="8"/>
      <c r="D453" s="8"/>
      <c r="E453" s="8"/>
      <c r="F453" s="8"/>
      <c r="G453" s="8"/>
      <c r="H453" s="8"/>
    </row>
    <row r="454" spans="1:10" ht="13.5" customHeight="1">
      <c r="A454" s="10" t="s">
        <v>84</v>
      </c>
      <c r="B454" s="8"/>
      <c r="C454" s="8"/>
      <c r="D454" s="8"/>
      <c r="E454" s="8"/>
      <c r="F454" s="8"/>
      <c r="G454" s="8"/>
      <c r="H454" s="8"/>
    </row>
    <row r="455" spans="1:10" ht="13.5" customHeight="1">
      <c r="A455" s="10"/>
      <c r="B455" s="8"/>
      <c r="C455" s="8"/>
      <c r="D455" s="8"/>
      <c r="E455" s="8"/>
      <c r="F455" s="8"/>
      <c r="G455" s="8"/>
      <c r="H455" s="8"/>
    </row>
    <row r="456" spans="1:10" ht="13.5" customHeight="1">
      <c r="A456" s="26" t="s">
        <v>102</v>
      </c>
      <c r="B456" s="13"/>
      <c r="C456" s="13"/>
      <c r="D456" s="13"/>
      <c r="E456" s="13"/>
      <c r="F456" s="13"/>
      <c r="G456" s="13"/>
      <c r="H456" s="13"/>
    </row>
    <row r="459" spans="1:10" ht="13.5" customHeight="1">
      <c r="A459" s="24" t="s">
        <v>206</v>
      </c>
      <c r="B459" s="94"/>
      <c r="C459" s="94"/>
      <c r="D459" s="94"/>
      <c r="E459" s="94"/>
      <c r="F459" s="95"/>
      <c r="G459" s="94"/>
      <c r="H459" s="96"/>
    </row>
    <row r="460" spans="1:10" ht="13.5" customHeight="1">
      <c r="A460" s="13" t="s">
        <v>1</v>
      </c>
      <c r="B460" s="14"/>
      <c r="C460" s="14"/>
      <c r="D460" s="13"/>
      <c r="E460" s="13"/>
      <c r="F460" s="13"/>
      <c r="G460" s="13"/>
      <c r="H460" s="35"/>
    </row>
    <row r="461" spans="1:10" ht="13.5" customHeight="1">
      <c r="A461" s="13"/>
      <c r="B461" s="14"/>
      <c r="C461" s="14"/>
      <c r="D461" s="13"/>
      <c r="E461" s="13"/>
      <c r="F461" s="13"/>
      <c r="G461" s="13"/>
      <c r="H461" s="25"/>
    </row>
    <row r="462" spans="1:10" ht="13.5" customHeight="1">
      <c r="A462" s="31"/>
      <c r="B462" s="32"/>
      <c r="C462" s="33"/>
      <c r="D462" s="33"/>
      <c r="E462" s="33"/>
      <c r="F462" s="33"/>
      <c r="G462" s="33"/>
      <c r="H462" s="34" t="s">
        <v>83</v>
      </c>
      <c r="J462" s="170" t="s">
        <v>126</v>
      </c>
    </row>
    <row r="463" spans="1:10" ht="13.5" customHeight="1">
      <c r="A463" s="30"/>
      <c r="B463" s="38" t="s">
        <v>2</v>
      </c>
      <c r="C463" s="31">
        <v>0</v>
      </c>
      <c r="D463" s="31">
        <v>1</v>
      </c>
      <c r="E463" s="31">
        <v>2</v>
      </c>
      <c r="F463" s="38" t="s">
        <v>3</v>
      </c>
      <c r="G463" s="38" t="s">
        <v>4</v>
      </c>
      <c r="H463" s="38" t="s">
        <v>64</v>
      </c>
    </row>
    <row r="464" spans="1:10" ht="13.5" customHeight="1">
      <c r="A464" s="37" t="s">
        <v>2</v>
      </c>
      <c r="B464" s="36">
        <v>8853</v>
      </c>
      <c r="C464" s="36">
        <v>150</v>
      </c>
      <c r="D464" s="36">
        <v>2614</v>
      </c>
      <c r="E464" s="36">
        <v>562</v>
      </c>
      <c r="F464" s="36">
        <v>1050</v>
      </c>
      <c r="G464" s="36">
        <v>1268</v>
      </c>
      <c r="H464" s="36">
        <v>3209</v>
      </c>
    </row>
    <row r="465" spans="1:8" ht="13.5" customHeight="1">
      <c r="A465" s="37" t="s">
        <v>5</v>
      </c>
      <c r="B465" s="36"/>
      <c r="C465" s="36"/>
      <c r="D465" s="36"/>
      <c r="E465" s="36"/>
      <c r="F465" s="36"/>
      <c r="G465" s="36"/>
      <c r="H465" s="36"/>
    </row>
    <row r="466" spans="1:8" ht="13.5" customHeight="1">
      <c r="A466" s="9" t="s">
        <v>6</v>
      </c>
      <c r="B466" s="8">
        <v>2241</v>
      </c>
      <c r="C466" s="8">
        <v>0</v>
      </c>
      <c r="D466" s="8">
        <v>2241</v>
      </c>
      <c r="E466" s="8">
        <v>0</v>
      </c>
      <c r="F466" s="8">
        <v>0</v>
      </c>
      <c r="G466" s="8">
        <v>0</v>
      </c>
      <c r="H466" s="8">
        <v>0</v>
      </c>
    </row>
    <row r="467" spans="1:8" ht="13.5" customHeight="1">
      <c r="A467" s="9" t="s">
        <v>7</v>
      </c>
      <c r="B467" s="8">
        <v>3955</v>
      </c>
      <c r="C467" s="8">
        <v>0</v>
      </c>
      <c r="D467" s="8">
        <v>0</v>
      </c>
      <c r="E467" s="8">
        <v>413</v>
      </c>
      <c r="F467" s="8">
        <v>715</v>
      </c>
      <c r="G467" s="8">
        <v>791</v>
      </c>
      <c r="H467" s="8">
        <v>2036</v>
      </c>
    </row>
    <row r="468" spans="1:8" ht="13.5" customHeight="1">
      <c r="A468" s="9" t="s">
        <v>8</v>
      </c>
      <c r="B468" s="8">
        <v>2118</v>
      </c>
      <c r="C468" s="8">
        <v>0</v>
      </c>
      <c r="D468" s="8">
        <v>129</v>
      </c>
      <c r="E468" s="8">
        <v>96</v>
      </c>
      <c r="F468" s="8">
        <v>291</v>
      </c>
      <c r="G468" s="8">
        <v>453</v>
      </c>
      <c r="H468" s="8">
        <v>1149</v>
      </c>
    </row>
    <row r="469" spans="1:8" ht="13.5" customHeight="1">
      <c r="A469" s="10" t="s">
        <v>65</v>
      </c>
      <c r="B469" s="8">
        <v>539</v>
      </c>
      <c r="C469" s="8">
        <v>150</v>
      </c>
      <c r="D469" s="8">
        <v>244</v>
      </c>
      <c r="E469" s="8">
        <v>53</v>
      </c>
      <c r="F469" s="8">
        <v>44</v>
      </c>
      <c r="G469" s="8">
        <v>24</v>
      </c>
      <c r="H469" s="8">
        <v>24</v>
      </c>
    </row>
    <row r="470" spans="1:8" ht="13.5" customHeight="1">
      <c r="A470" s="37" t="s">
        <v>9</v>
      </c>
      <c r="B470" s="36"/>
      <c r="C470" s="36"/>
      <c r="D470" s="36"/>
      <c r="E470" s="36"/>
      <c r="F470" s="36"/>
      <c r="G470" s="36"/>
      <c r="H470" s="36"/>
    </row>
    <row r="471" spans="1:8" ht="13.5" customHeight="1">
      <c r="A471" s="9" t="s">
        <v>10</v>
      </c>
      <c r="B471" s="8">
        <v>2160</v>
      </c>
      <c r="C471" s="8">
        <v>63</v>
      </c>
      <c r="D471" s="8">
        <v>499</v>
      </c>
      <c r="E471" s="8">
        <v>194</v>
      </c>
      <c r="F471" s="8">
        <v>544</v>
      </c>
      <c r="G471" s="8">
        <v>379</v>
      </c>
      <c r="H471" s="8">
        <v>481</v>
      </c>
    </row>
    <row r="472" spans="1:8" ht="13.5" customHeight="1">
      <c r="A472" s="9" t="s">
        <v>11</v>
      </c>
      <c r="B472" s="8">
        <v>2061</v>
      </c>
      <c r="C472" s="8">
        <v>15</v>
      </c>
      <c r="D472" s="8">
        <v>612</v>
      </c>
      <c r="E472" s="8">
        <v>147</v>
      </c>
      <c r="F472" s="8">
        <v>257</v>
      </c>
      <c r="G472" s="8">
        <v>379</v>
      </c>
      <c r="H472" s="8">
        <v>651</v>
      </c>
    </row>
    <row r="473" spans="1:8" ht="13.5" customHeight="1">
      <c r="A473" s="9" t="s">
        <v>12</v>
      </c>
      <c r="B473" s="8">
        <v>1651</v>
      </c>
      <c r="C473" s="8">
        <v>13</v>
      </c>
      <c r="D473" s="8">
        <v>428</v>
      </c>
      <c r="E473" s="8">
        <v>85</v>
      </c>
      <c r="F473" s="8">
        <v>81</v>
      </c>
      <c r="G473" s="8">
        <v>176</v>
      </c>
      <c r="H473" s="8">
        <v>868</v>
      </c>
    </row>
    <row r="474" spans="1:8" ht="13.5" customHeight="1">
      <c r="A474" s="9" t="s">
        <v>13</v>
      </c>
      <c r="B474" s="8">
        <v>851</v>
      </c>
      <c r="C474" s="8">
        <v>18</v>
      </c>
      <c r="D474" s="8">
        <v>158</v>
      </c>
      <c r="E474" s="8">
        <v>32</v>
      </c>
      <c r="F474" s="8">
        <v>51</v>
      </c>
      <c r="G474" s="8">
        <v>53</v>
      </c>
      <c r="H474" s="8">
        <v>539</v>
      </c>
    </row>
    <row r="475" spans="1:8" ht="13.5" customHeight="1">
      <c r="A475" s="9" t="s">
        <v>14</v>
      </c>
      <c r="B475" s="8">
        <v>480</v>
      </c>
      <c r="C475" s="8">
        <v>11</v>
      </c>
      <c r="D475" s="8">
        <v>133</v>
      </c>
      <c r="E475" s="8">
        <v>18</v>
      </c>
      <c r="F475" s="8">
        <v>19</v>
      </c>
      <c r="G475" s="8">
        <v>61</v>
      </c>
      <c r="H475" s="8">
        <v>238</v>
      </c>
    </row>
    <row r="476" spans="1:8" ht="13.5" customHeight="1">
      <c r="A476" s="9" t="s">
        <v>15</v>
      </c>
      <c r="B476" s="8">
        <v>250</v>
      </c>
      <c r="C476" s="8">
        <v>2</v>
      </c>
      <c r="D476" s="8">
        <v>111</v>
      </c>
      <c r="E476" s="8">
        <v>18</v>
      </c>
      <c r="F476" s="8">
        <v>4</v>
      </c>
      <c r="G476" s="8">
        <v>32</v>
      </c>
      <c r="H476" s="8">
        <v>83</v>
      </c>
    </row>
    <row r="477" spans="1:8" ht="13.5" customHeight="1">
      <c r="A477" s="9" t="s">
        <v>16</v>
      </c>
      <c r="B477" s="8">
        <v>287</v>
      </c>
      <c r="C477" s="8">
        <v>6</v>
      </c>
      <c r="D477" s="8">
        <v>129</v>
      </c>
      <c r="E477" s="8">
        <v>5</v>
      </c>
      <c r="F477" s="8">
        <v>7</v>
      </c>
      <c r="G477" s="8">
        <v>63</v>
      </c>
      <c r="H477" s="8">
        <v>77</v>
      </c>
    </row>
    <row r="478" spans="1:8" ht="13.5" customHeight="1">
      <c r="A478" s="9" t="s">
        <v>17</v>
      </c>
      <c r="B478" s="8">
        <v>176</v>
      </c>
      <c r="C478" s="8">
        <v>6</v>
      </c>
      <c r="D478" s="8">
        <v>91</v>
      </c>
      <c r="E478" s="8">
        <v>8</v>
      </c>
      <c r="F478" s="8">
        <v>6</v>
      </c>
      <c r="G478" s="8">
        <v>29</v>
      </c>
      <c r="H478" s="8">
        <v>36</v>
      </c>
    </row>
    <row r="479" spans="1:8" ht="13.5" customHeight="1">
      <c r="A479" s="9" t="s">
        <v>18</v>
      </c>
      <c r="B479" s="8">
        <v>194</v>
      </c>
      <c r="C479" s="8">
        <v>1</v>
      </c>
      <c r="D479" s="8">
        <v>116</v>
      </c>
      <c r="E479" s="8">
        <v>6</v>
      </c>
      <c r="F479" s="8">
        <v>15</v>
      </c>
      <c r="G479" s="8">
        <v>14</v>
      </c>
      <c r="H479" s="8">
        <v>42</v>
      </c>
    </row>
    <row r="480" spans="1:8" ht="13.5" customHeight="1">
      <c r="A480" s="9" t="s">
        <v>19</v>
      </c>
      <c r="B480" s="8">
        <v>186</v>
      </c>
      <c r="C480" s="8">
        <v>2</v>
      </c>
      <c r="D480" s="8">
        <v>92</v>
      </c>
      <c r="E480" s="8">
        <v>9</v>
      </c>
      <c r="F480" s="8">
        <v>15</v>
      </c>
      <c r="G480" s="8">
        <v>16</v>
      </c>
      <c r="H480" s="8">
        <v>52</v>
      </c>
    </row>
    <row r="481" spans="1:8" ht="13.5" customHeight="1">
      <c r="A481" s="9" t="s">
        <v>20</v>
      </c>
      <c r="B481" s="8">
        <v>382</v>
      </c>
      <c r="C481" s="8">
        <v>9</v>
      </c>
      <c r="D481" s="8">
        <v>189</v>
      </c>
      <c r="E481" s="8">
        <v>19</v>
      </c>
      <c r="F481" s="8">
        <v>33</v>
      </c>
      <c r="G481" s="8">
        <v>41</v>
      </c>
      <c r="H481" s="8">
        <v>91</v>
      </c>
    </row>
    <row r="482" spans="1:8" ht="13.5" customHeight="1">
      <c r="A482" s="9" t="s">
        <v>132</v>
      </c>
      <c r="B482" s="8">
        <v>175</v>
      </c>
      <c r="C482" s="8">
        <v>4</v>
      </c>
      <c r="D482" s="8">
        <v>56</v>
      </c>
      <c r="E482" s="8">
        <v>21</v>
      </c>
      <c r="F482" s="8">
        <v>18</v>
      </c>
      <c r="G482" s="8">
        <v>25</v>
      </c>
      <c r="H482" s="8">
        <v>51</v>
      </c>
    </row>
    <row r="483" spans="1:8" ht="13.5" customHeight="1">
      <c r="A483" s="37" t="s">
        <v>22</v>
      </c>
      <c r="B483" s="36"/>
      <c r="C483" s="36"/>
      <c r="D483" s="36"/>
      <c r="E483" s="36"/>
      <c r="F483" s="36"/>
      <c r="G483" s="36"/>
      <c r="H483" s="36"/>
    </row>
    <row r="484" spans="1:8" ht="13.5" customHeight="1">
      <c r="A484" s="9" t="s">
        <v>23</v>
      </c>
      <c r="B484" s="8">
        <v>108</v>
      </c>
      <c r="C484" s="8">
        <v>13</v>
      </c>
      <c r="D484" s="8">
        <v>87</v>
      </c>
      <c r="E484" s="8">
        <v>6</v>
      </c>
      <c r="F484" s="8">
        <v>1</v>
      </c>
      <c r="G484" s="8">
        <v>0</v>
      </c>
      <c r="H484" s="8">
        <v>1</v>
      </c>
    </row>
    <row r="485" spans="1:8" ht="13.5" customHeight="1">
      <c r="A485" s="9" t="s">
        <v>24</v>
      </c>
      <c r="B485" s="8">
        <v>1480</v>
      </c>
      <c r="C485" s="8">
        <v>59</v>
      </c>
      <c r="D485" s="8">
        <v>1194</v>
      </c>
      <c r="E485" s="8">
        <v>163</v>
      </c>
      <c r="F485" s="8">
        <v>50</v>
      </c>
      <c r="G485" s="8">
        <v>9</v>
      </c>
      <c r="H485" s="8">
        <v>5</v>
      </c>
    </row>
    <row r="486" spans="1:8" ht="13.5" customHeight="1">
      <c r="A486" s="9" t="s">
        <v>25</v>
      </c>
      <c r="B486" s="8">
        <v>1955</v>
      </c>
      <c r="C486" s="8">
        <v>18</v>
      </c>
      <c r="D486" s="8">
        <v>1107</v>
      </c>
      <c r="E486" s="8">
        <v>268</v>
      </c>
      <c r="F486" s="8">
        <v>371</v>
      </c>
      <c r="G486" s="8">
        <v>149</v>
      </c>
      <c r="H486" s="8">
        <v>42</v>
      </c>
    </row>
    <row r="487" spans="1:8" ht="13.5" customHeight="1">
      <c r="A487" s="9" t="s">
        <v>26</v>
      </c>
      <c r="B487" s="8">
        <v>1496</v>
      </c>
      <c r="C487" s="8">
        <v>24</v>
      </c>
      <c r="D487" s="8">
        <v>126</v>
      </c>
      <c r="E487" s="8">
        <v>69</v>
      </c>
      <c r="F487" s="8">
        <v>350</v>
      </c>
      <c r="G487" s="8">
        <v>502</v>
      </c>
      <c r="H487" s="8">
        <v>425</v>
      </c>
    </row>
    <row r="488" spans="1:8" ht="13.5" customHeight="1">
      <c r="A488" s="9" t="s">
        <v>27</v>
      </c>
      <c r="B488" s="8">
        <v>1639</v>
      </c>
      <c r="C488" s="8">
        <v>16</v>
      </c>
      <c r="D488" s="8">
        <v>39</v>
      </c>
      <c r="E488" s="8">
        <v>24</v>
      </c>
      <c r="F488" s="8">
        <v>173</v>
      </c>
      <c r="G488" s="8">
        <v>409</v>
      </c>
      <c r="H488" s="8">
        <v>978</v>
      </c>
    </row>
    <row r="489" spans="1:8" ht="13.5" customHeight="1">
      <c r="A489" s="9" t="s">
        <v>28</v>
      </c>
      <c r="B489" s="8">
        <v>1056</v>
      </c>
      <c r="C489" s="8">
        <v>13</v>
      </c>
      <c r="D489" s="8">
        <v>26</v>
      </c>
      <c r="E489" s="8">
        <v>18</v>
      </c>
      <c r="F489" s="8">
        <v>66</v>
      </c>
      <c r="G489" s="8">
        <v>125</v>
      </c>
      <c r="H489" s="8">
        <v>808</v>
      </c>
    </row>
    <row r="490" spans="1:8" ht="13.5" customHeight="1">
      <c r="A490" s="9" t="s">
        <v>29</v>
      </c>
      <c r="B490" s="8">
        <v>640</v>
      </c>
      <c r="C490" s="8">
        <v>5</v>
      </c>
      <c r="D490" s="8">
        <v>24</v>
      </c>
      <c r="E490" s="8">
        <v>10</v>
      </c>
      <c r="F490" s="8">
        <v>28</v>
      </c>
      <c r="G490" s="8">
        <v>43</v>
      </c>
      <c r="H490" s="8">
        <v>530</v>
      </c>
    </row>
    <row r="491" spans="1:8" ht="13.5" customHeight="1">
      <c r="A491" s="9" t="s">
        <v>30</v>
      </c>
      <c r="B491" s="8">
        <v>479</v>
      </c>
      <c r="C491" s="8">
        <v>2</v>
      </c>
      <c r="D491" s="8">
        <v>11</v>
      </c>
      <c r="E491" s="8">
        <v>4</v>
      </c>
      <c r="F491" s="8">
        <v>11</v>
      </c>
      <c r="G491" s="8">
        <v>31</v>
      </c>
      <c r="H491" s="8">
        <v>420</v>
      </c>
    </row>
    <row r="492" spans="1:8" ht="13.5" customHeight="1">
      <c r="A492" s="37" t="s">
        <v>31</v>
      </c>
      <c r="B492" s="36"/>
      <c r="C492" s="36"/>
      <c r="D492" s="36"/>
      <c r="E492" s="36"/>
      <c r="F492" s="36"/>
      <c r="G492" s="36"/>
      <c r="H492" s="36"/>
    </row>
    <row r="493" spans="1:8" ht="13.5" customHeight="1">
      <c r="A493" s="9" t="s">
        <v>32</v>
      </c>
      <c r="B493" s="8">
        <v>98</v>
      </c>
      <c r="C493" s="8">
        <v>1</v>
      </c>
      <c r="D493" s="8">
        <v>52</v>
      </c>
      <c r="E493" s="8">
        <v>7</v>
      </c>
      <c r="F493" s="8">
        <v>18</v>
      </c>
      <c r="G493" s="8">
        <v>9</v>
      </c>
      <c r="H493" s="8">
        <v>11</v>
      </c>
    </row>
    <row r="494" spans="1:8" ht="13.5" customHeight="1">
      <c r="A494" s="9" t="s">
        <v>33</v>
      </c>
      <c r="B494" s="8">
        <v>156</v>
      </c>
      <c r="C494" s="8">
        <v>3</v>
      </c>
      <c r="D494" s="8">
        <v>27</v>
      </c>
      <c r="E494" s="8">
        <v>33</v>
      </c>
      <c r="F494" s="8">
        <v>43</v>
      </c>
      <c r="G494" s="8">
        <v>18</v>
      </c>
      <c r="H494" s="8">
        <v>32</v>
      </c>
    </row>
    <row r="495" spans="1:8" ht="13.5" customHeight="1">
      <c r="A495" s="9" t="s">
        <v>34</v>
      </c>
      <c r="B495" s="8">
        <v>6387</v>
      </c>
      <c r="C495" s="8">
        <v>81</v>
      </c>
      <c r="D495" s="8">
        <v>2165</v>
      </c>
      <c r="E495" s="8">
        <v>414</v>
      </c>
      <c r="F495" s="8">
        <v>779</v>
      </c>
      <c r="G495" s="8">
        <v>835</v>
      </c>
      <c r="H495" s="8">
        <v>2113</v>
      </c>
    </row>
    <row r="496" spans="1:8" ht="13.5" customHeight="1">
      <c r="A496" s="9" t="s">
        <v>35</v>
      </c>
      <c r="B496" s="8">
        <v>1148</v>
      </c>
      <c r="C496" s="8">
        <v>29</v>
      </c>
      <c r="D496" s="8">
        <v>168</v>
      </c>
      <c r="E496" s="8">
        <v>53</v>
      </c>
      <c r="F496" s="8">
        <v>90</v>
      </c>
      <c r="G496" s="8">
        <v>268</v>
      </c>
      <c r="H496" s="8">
        <v>540</v>
      </c>
    </row>
    <row r="497" spans="1:10" ht="13.5" customHeight="1">
      <c r="A497" s="9" t="s">
        <v>36</v>
      </c>
      <c r="B497" s="8">
        <v>1040</v>
      </c>
      <c r="C497" s="8">
        <v>35</v>
      </c>
      <c r="D497" s="8">
        <v>189</v>
      </c>
      <c r="E497" s="8">
        <v>53</v>
      </c>
      <c r="F497" s="8">
        <v>119</v>
      </c>
      <c r="G497" s="8">
        <v>135</v>
      </c>
      <c r="H497" s="8">
        <v>509</v>
      </c>
    </row>
    <row r="498" spans="1:10" ht="13.5" customHeight="1">
      <c r="A498" s="9" t="s">
        <v>37</v>
      </c>
      <c r="B498" s="8">
        <v>23</v>
      </c>
      <c r="C498" s="8">
        <v>0</v>
      </c>
      <c r="D498" s="8">
        <v>13</v>
      </c>
      <c r="E498" s="8">
        <v>2</v>
      </c>
      <c r="F498" s="8">
        <v>1</v>
      </c>
      <c r="G498" s="8">
        <v>3</v>
      </c>
      <c r="H498" s="8">
        <v>4</v>
      </c>
    </row>
    <row r="499" spans="1:10" ht="13.5" customHeight="1">
      <c r="A499" s="9" t="s">
        <v>38</v>
      </c>
      <c r="B499" s="8">
        <v>1</v>
      </c>
      <c r="C499" s="8">
        <v>1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</row>
    <row r="500" spans="1:10" ht="13.5" customHeight="1">
      <c r="A500" s="9"/>
      <c r="B500" s="8"/>
      <c r="C500" s="8"/>
      <c r="D500" s="8"/>
      <c r="E500" s="8"/>
      <c r="F500" s="8"/>
      <c r="G500" s="8"/>
      <c r="H500" s="8"/>
    </row>
    <row r="501" spans="1:10" ht="13.5" customHeight="1">
      <c r="A501" s="10" t="s">
        <v>84</v>
      </c>
      <c r="B501" s="8"/>
      <c r="C501" s="8"/>
      <c r="D501" s="8"/>
      <c r="E501" s="8"/>
      <c r="F501" s="8"/>
      <c r="G501" s="8"/>
      <c r="H501" s="8"/>
    </row>
    <row r="502" spans="1:10" ht="13.5" customHeight="1">
      <c r="A502" s="10"/>
      <c r="B502" s="8"/>
      <c r="C502" s="8"/>
      <c r="D502" s="8"/>
      <c r="E502" s="8"/>
      <c r="F502" s="8"/>
      <c r="G502" s="8"/>
      <c r="H502" s="8"/>
    </row>
    <row r="503" spans="1:10" ht="13.5" customHeight="1">
      <c r="A503" s="26" t="s">
        <v>102</v>
      </c>
      <c r="B503" s="13"/>
      <c r="C503" s="13"/>
      <c r="D503" s="13"/>
      <c r="E503" s="13"/>
      <c r="F503" s="13"/>
      <c r="G503" s="13"/>
      <c r="H503" s="13"/>
    </row>
    <row r="506" spans="1:10" ht="13.5" customHeight="1">
      <c r="A506" s="24" t="s">
        <v>207</v>
      </c>
      <c r="B506" s="15"/>
      <c r="C506" s="15"/>
      <c r="D506" s="15"/>
      <c r="E506" s="15"/>
      <c r="F506" s="16"/>
      <c r="G506" s="15"/>
      <c r="H506" s="17"/>
    </row>
    <row r="507" spans="1:10" ht="13.5" customHeight="1">
      <c r="A507" s="15" t="s">
        <v>1</v>
      </c>
      <c r="B507" s="27"/>
      <c r="C507" s="27"/>
      <c r="D507" s="15"/>
      <c r="E507" s="15"/>
      <c r="F507" s="15"/>
      <c r="G507" s="15"/>
      <c r="H507" s="18"/>
    </row>
    <row r="508" spans="1:10" ht="13.5" customHeight="1">
      <c r="A508" s="15"/>
      <c r="B508" s="27"/>
      <c r="C508" s="27"/>
      <c r="D508" s="15"/>
      <c r="E508" s="15"/>
      <c r="F508" s="15"/>
      <c r="G508" s="15"/>
      <c r="H508" s="11"/>
    </row>
    <row r="509" spans="1:10" ht="13.5" customHeight="1">
      <c r="A509" s="31"/>
      <c r="B509" s="32"/>
      <c r="C509" s="33"/>
      <c r="D509" s="33"/>
      <c r="E509" s="33"/>
      <c r="F509" s="33"/>
      <c r="G509" s="33"/>
      <c r="H509" s="34" t="s">
        <v>83</v>
      </c>
      <c r="J509" s="170" t="s">
        <v>126</v>
      </c>
    </row>
    <row r="510" spans="1:10" ht="13.5" customHeight="1">
      <c r="A510" s="30"/>
      <c r="B510" s="38" t="s">
        <v>2</v>
      </c>
      <c r="C510" s="31">
        <v>0</v>
      </c>
      <c r="D510" s="31">
        <v>1</v>
      </c>
      <c r="E510" s="31">
        <v>2</v>
      </c>
      <c r="F510" s="38" t="s">
        <v>3</v>
      </c>
      <c r="G510" s="38" t="s">
        <v>4</v>
      </c>
      <c r="H510" s="38" t="s">
        <v>64</v>
      </c>
    </row>
    <row r="511" spans="1:10" ht="13.5" customHeight="1">
      <c r="A511" s="37" t="s">
        <v>2</v>
      </c>
      <c r="B511" s="36">
        <v>8783</v>
      </c>
      <c r="C511" s="36">
        <v>144</v>
      </c>
      <c r="D511" s="36">
        <v>2605</v>
      </c>
      <c r="E511" s="36">
        <v>547</v>
      </c>
      <c r="F511" s="36">
        <v>1040</v>
      </c>
      <c r="G511" s="36">
        <v>1270</v>
      </c>
      <c r="H511" s="36">
        <v>3177</v>
      </c>
    </row>
    <row r="512" spans="1:10" ht="13.5" customHeight="1">
      <c r="A512" s="37" t="s">
        <v>5</v>
      </c>
      <c r="B512" s="36"/>
      <c r="C512" s="36"/>
      <c r="D512" s="36"/>
      <c r="E512" s="36"/>
      <c r="F512" s="36"/>
      <c r="G512" s="36"/>
      <c r="H512" s="36"/>
    </row>
    <row r="513" spans="1:8" ht="13.5" customHeight="1">
      <c r="A513" s="9" t="s">
        <v>6</v>
      </c>
      <c r="B513" s="8">
        <v>2231</v>
      </c>
      <c r="C513" s="8">
        <v>0</v>
      </c>
      <c r="D513" s="8">
        <v>2231</v>
      </c>
      <c r="E513" s="8">
        <v>0</v>
      </c>
      <c r="F513" s="8">
        <v>0</v>
      </c>
      <c r="G513" s="8">
        <v>0</v>
      </c>
      <c r="H513" s="8">
        <v>0</v>
      </c>
    </row>
    <row r="514" spans="1:8" ht="13.5" customHeight="1">
      <c r="A514" s="9" t="s">
        <v>7</v>
      </c>
      <c r="B514" s="8">
        <v>3921</v>
      </c>
      <c r="C514" s="8">
        <v>0</v>
      </c>
      <c r="D514" s="8">
        <v>0</v>
      </c>
      <c r="E514" s="8">
        <v>396</v>
      </c>
      <c r="F514" s="8">
        <v>707</v>
      </c>
      <c r="G514" s="8">
        <v>790</v>
      </c>
      <c r="H514" s="8">
        <v>2028</v>
      </c>
    </row>
    <row r="515" spans="1:8" ht="13.5" customHeight="1">
      <c r="A515" s="9" t="s">
        <v>8</v>
      </c>
      <c r="B515" s="8">
        <v>2102</v>
      </c>
      <c r="C515" s="8">
        <v>0</v>
      </c>
      <c r="D515" s="8">
        <v>135</v>
      </c>
      <c r="E515" s="8">
        <v>96</v>
      </c>
      <c r="F515" s="8">
        <v>292</v>
      </c>
      <c r="G515" s="8">
        <v>455</v>
      </c>
      <c r="H515" s="8">
        <v>1124</v>
      </c>
    </row>
    <row r="516" spans="1:8" ht="13.5" customHeight="1">
      <c r="A516" s="10" t="s">
        <v>65</v>
      </c>
      <c r="B516" s="8">
        <v>529</v>
      </c>
      <c r="C516" s="8">
        <v>144</v>
      </c>
      <c r="D516" s="8">
        <v>239</v>
      </c>
      <c r="E516" s="8">
        <v>55</v>
      </c>
      <c r="F516" s="8">
        <v>41</v>
      </c>
      <c r="G516" s="8">
        <v>25</v>
      </c>
      <c r="H516" s="8">
        <v>25</v>
      </c>
    </row>
    <row r="517" spans="1:8" ht="13.5" customHeight="1">
      <c r="A517" s="37" t="s">
        <v>9</v>
      </c>
      <c r="B517" s="36"/>
      <c r="C517" s="36"/>
      <c r="D517" s="36"/>
      <c r="E517" s="36"/>
      <c r="F517" s="36"/>
      <c r="G517" s="36"/>
      <c r="H517" s="36"/>
    </row>
    <row r="518" spans="1:8" ht="13.5" customHeight="1">
      <c r="A518" s="9" t="s">
        <v>10</v>
      </c>
      <c r="B518" s="8">
        <v>2159</v>
      </c>
      <c r="C518" s="8">
        <v>64</v>
      </c>
      <c r="D518" s="8">
        <v>502</v>
      </c>
      <c r="E518" s="8">
        <v>192</v>
      </c>
      <c r="F518" s="8">
        <v>540</v>
      </c>
      <c r="G518" s="8">
        <v>384</v>
      </c>
      <c r="H518" s="8">
        <v>477</v>
      </c>
    </row>
    <row r="519" spans="1:8" ht="13.5" customHeight="1">
      <c r="A519" s="9" t="s">
        <v>11</v>
      </c>
      <c r="B519" s="8">
        <v>2071</v>
      </c>
      <c r="C519" s="8">
        <v>17</v>
      </c>
      <c r="D519" s="8">
        <v>622</v>
      </c>
      <c r="E519" s="8">
        <v>144</v>
      </c>
      <c r="F519" s="8">
        <v>258</v>
      </c>
      <c r="G519" s="8">
        <v>379</v>
      </c>
      <c r="H519" s="8">
        <v>651</v>
      </c>
    </row>
    <row r="520" spans="1:8" ht="13.5" customHeight="1">
      <c r="A520" s="9" t="s">
        <v>12</v>
      </c>
      <c r="B520" s="8">
        <v>1651</v>
      </c>
      <c r="C520" s="8">
        <v>11</v>
      </c>
      <c r="D520" s="8">
        <v>434</v>
      </c>
      <c r="E520" s="8">
        <v>85</v>
      </c>
      <c r="F520" s="8">
        <v>79</v>
      </c>
      <c r="G520" s="8">
        <v>178</v>
      </c>
      <c r="H520" s="8">
        <v>864</v>
      </c>
    </row>
    <row r="521" spans="1:8" ht="13.5" customHeight="1">
      <c r="A521" s="9" t="s">
        <v>13</v>
      </c>
      <c r="B521" s="8">
        <v>848</v>
      </c>
      <c r="C521" s="8">
        <v>14</v>
      </c>
      <c r="D521" s="8">
        <v>159</v>
      </c>
      <c r="E521" s="8">
        <v>32</v>
      </c>
      <c r="F521" s="8">
        <v>52</v>
      </c>
      <c r="G521" s="8">
        <v>53</v>
      </c>
      <c r="H521" s="8">
        <v>538</v>
      </c>
    </row>
    <row r="522" spans="1:8" ht="13.5" customHeight="1">
      <c r="A522" s="9" t="s">
        <v>14</v>
      </c>
      <c r="B522" s="8">
        <v>479</v>
      </c>
      <c r="C522" s="8">
        <v>12</v>
      </c>
      <c r="D522" s="8">
        <v>132</v>
      </c>
      <c r="E522" s="8">
        <v>17</v>
      </c>
      <c r="F522" s="8">
        <v>19</v>
      </c>
      <c r="G522" s="8">
        <v>61</v>
      </c>
      <c r="H522" s="8">
        <v>238</v>
      </c>
    </row>
    <row r="523" spans="1:8" ht="13.5" customHeight="1">
      <c r="A523" s="9" t="s">
        <v>15</v>
      </c>
      <c r="B523" s="8">
        <v>249</v>
      </c>
      <c r="C523" s="8">
        <v>1</v>
      </c>
      <c r="D523" s="8">
        <v>111</v>
      </c>
      <c r="E523" s="8">
        <v>18</v>
      </c>
      <c r="F523" s="8">
        <v>4</v>
      </c>
      <c r="G523" s="8">
        <v>32</v>
      </c>
      <c r="H523" s="8">
        <v>83</v>
      </c>
    </row>
    <row r="524" spans="1:8" ht="13.5" customHeight="1">
      <c r="A524" s="9" t="s">
        <v>16</v>
      </c>
      <c r="B524" s="8">
        <v>287</v>
      </c>
      <c r="C524" s="8">
        <v>6</v>
      </c>
      <c r="D524" s="8">
        <v>129</v>
      </c>
      <c r="E524" s="8">
        <v>5</v>
      </c>
      <c r="F524" s="8">
        <v>7</v>
      </c>
      <c r="G524" s="8">
        <v>63</v>
      </c>
      <c r="H524" s="8">
        <v>77</v>
      </c>
    </row>
    <row r="525" spans="1:8" ht="13.5" customHeight="1">
      <c r="A525" s="9" t="s">
        <v>17</v>
      </c>
      <c r="B525" s="8">
        <v>178</v>
      </c>
      <c r="C525" s="8">
        <v>8</v>
      </c>
      <c r="D525" s="8">
        <v>91</v>
      </c>
      <c r="E525" s="8">
        <v>8</v>
      </c>
      <c r="F525" s="8">
        <v>6</v>
      </c>
      <c r="G525" s="8">
        <v>29</v>
      </c>
      <c r="H525" s="8">
        <v>36</v>
      </c>
    </row>
    <row r="526" spans="1:8" ht="13.5" customHeight="1">
      <c r="A526" s="9" t="s">
        <v>18</v>
      </c>
      <c r="B526" s="8">
        <v>193</v>
      </c>
      <c r="C526" s="8">
        <v>0</v>
      </c>
      <c r="D526" s="8">
        <v>116</v>
      </c>
      <c r="E526" s="8">
        <v>6</v>
      </c>
      <c r="F526" s="8">
        <v>15</v>
      </c>
      <c r="G526" s="8">
        <v>14</v>
      </c>
      <c r="H526" s="8">
        <v>42</v>
      </c>
    </row>
    <row r="527" spans="1:8" ht="13.5" customHeight="1">
      <c r="A527" s="9" t="s">
        <v>19</v>
      </c>
      <c r="B527" s="8">
        <v>184</v>
      </c>
      <c r="C527" s="8">
        <v>2</v>
      </c>
      <c r="D527" s="8">
        <v>91</v>
      </c>
      <c r="E527" s="8">
        <v>9</v>
      </c>
      <c r="F527" s="8">
        <v>15</v>
      </c>
      <c r="G527" s="8">
        <v>16</v>
      </c>
      <c r="H527" s="8">
        <v>51</v>
      </c>
    </row>
    <row r="528" spans="1:8" ht="13.5" customHeight="1">
      <c r="A528" s="9" t="s">
        <v>20</v>
      </c>
      <c r="B528" s="8">
        <v>381</v>
      </c>
      <c r="C528" s="8">
        <v>7</v>
      </c>
      <c r="D528" s="8">
        <v>190</v>
      </c>
      <c r="E528" s="8">
        <v>20</v>
      </c>
      <c r="F528" s="8">
        <v>32</v>
      </c>
      <c r="G528" s="8">
        <v>41</v>
      </c>
      <c r="H528" s="8">
        <v>91</v>
      </c>
    </row>
    <row r="529" spans="1:8" ht="13.5" customHeight="1">
      <c r="A529" s="9" t="s">
        <v>132</v>
      </c>
      <c r="B529" s="8">
        <v>103</v>
      </c>
      <c r="C529" s="8">
        <v>2</v>
      </c>
      <c r="D529" s="8">
        <v>28</v>
      </c>
      <c r="E529" s="8">
        <v>11</v>
      </c>
      <c r="F529" s="8">
        <v>13</v>
      </c>
      <c r="G529" s="8">
        <v>20</v>
      </c>
      <c r="H529" s="8">
        <v>29</v>
      </c>
    </row>
    <row r="530" spans="1:8" ht="13.5" customHeight="1">
      <c r="A530" s="37" t="s">
        <v>22</v>
      </c>
      <c r="B530" s="36"/>
      <c r="C530" s="36"/>
      <c r="D530" s="36"/>
      <c r="E530" s="36"/>
      <c r="F530" s="36"/>
      <c r="G530" s="36"/>
      <c r="H530" s="36"/>
    </row>
    <row r="531" spans="1:8" ht="13.5" customHeight="1">
      <c r="A531" s="9" t="s">
        <v>23</v>
      </c>
      <c r="B531" s="8">
        <v>109</v>
      </c>
      <c r="C531" s="8">
        <v>10</v>
      </c>
      <c r="D531" s="8">
        <v>91</v>
      </c>
      <c r="E531" s="8">
        <v>6</v>
      </c>
      <c r="F531" s="8">
        <v>1</v>
      </c>
      <c r="G531" s="8">
        <v>0</v>
      </c>
      <c r="H531" s="8">
        <v>1</v>
      </c>
    </row>
    <row r="532" spans="1:8" ht="13.5" customHeight="1">
      <c r="A532" s="9" t="s">
        <v>24</v>
      </c>
      <c r="B532" s="8">
        <v>1464</v>
      </c>
      <c r="C532" s="8">
        <v>59</v>
      </c>
      <c r="D532" s="8">
        <v>1191</v>
      </c>
      <c r="E532" s="8">
        <v>158</v>
      </c>
      <c r="F532" s="8">
        <v>44</v>
      </c>
      <c r="G532" s="8">
        <v>8</v>
      </c>
      <c r="H532" s="8">
        <v>4</v>
      </c>
    </row>
    <row r="533" spans="1:8" ht="13.5" customHeight="1">
      <c r="A533" s="9" t="s">
        <v>25</v>
      </c>
      <c r="B533" s="8">
        <v>1925</v>
      </c>
      <c r="C533" s="8">
        <v>17</v>
      </c>
      <c r="D533" s="8">
        <v>1093</v>
      </c>
      <c r="E533" s="8">
        <v>262</v>
      </c>
      <c r="F533" s="8">
        <v>370</v>
      </c>
      <c r="G533" s="8">
        <v>150</v>
      </c>
      <c r="H533" s="8">
        <v>33</v>
      </c>
    </row>
    <row r="534" spans="1:8" ht="13.5" customHeight="1">
      <c r="A534" s="9" t="s">
        <v>26</v>
      </c>
      <c r="B534" s="8">
        <v>1494</v>
      </c>
      <c r="C534" s="8">
        <v>22</v>
      </c>
      <c r="D534" s="8">
        <v>127</v>
      </c>
      <c r="E534" s="8">
        <v>64</v>
      </c>
      <c r="F534" s="8">
        <v>351</v>
      </c>
      <c r="G534" s="8">
        <v>503</v>
      </c>
      <c r="H534" s="8">
        <v>427</v>
      </c>
    </row>
    <row r="535" spans="1:8" ht="13.5" customHeight="1">
      <c r="A535" s="9" t="s">
        <v>27</v>
      </c>
      <c r="B535" s="8">
        <v>1629</v>
      </c>
      <c r="C535" s="8">
        <v>16</v>
      </c>
      <c r="D535" s="8">
        <v>40</v>
      </c>
      <c r="E535" s="8">
        <v>24</v>
      </c>
      <c r="F535" s="8">
        <v>169</v>
      </c>
      <c r="G535" s="8">
        <v>408</v>
      </c>
      <c r="H535" s="8">
        <v>972</v>
      </c>
    </row>
    <row r="536" spans="1:8" ht="13.5" customHeight="1">
      <c r="A536" s="9" t="s">
        <v>28</v>
      </c>
      <c r="B536" s="8">
        <v>1048</v>
      </c>
      <c r="C536" s="8">
        <v>13</v>
      </c>
      <c r="D536" s="8">
        <v>28</v>
      </c>
      <c r="E536" s="8">
        <v>18</v>
      </c>
      <c r="F536" s="8">
        <v>66</v>
      </c>
      <c r="G536" s="8">
        <v>125</v>
      </c>
      <c r="H536" s="8">
        <v>798</v>
      </c>
    </row>
    <row r="537" spans="1:8" ht="13.5" customHeight="1">
      <c r="A537" s="9" t="s">
        <v>29</v>
      </c>
      <c r="B537" s="8">
        <v>639</v>
      </c>
      <c r="C537" s="8">
        <v>5</v>
      </c>
      <c r="D537" s="8">
        <v>24</v>
      </c>
      <c r="E537" s="8">
        <v>10</v>
      </c>
      <c r="F537" s="8">
        <v>28</v>
      </c>
      <c r="G537" s="8">
        <v>45</v>
      </c>
      <c r="H537" s="8">
        <v>527</v>
      </c>
    </row>
    <row r="538" spans="1:8" ht="13.5" customHeight="1">
      <c r="A538" s="9" t="s">
        <v>30</v>
      </c>
      <c r="B538" s="8">
        <v>475</v>
      </c>
      <c r="C538" s="8">
        <v>2</v>
      </c>
      <c r="D538" s="8">
        <v>11</v>
      </c>
      <c r="E538" s="8">
        <v>5</v>
      </c>
      <c r="F538" s="8">
        <v>11</v>
      </c>
      <c r="G538" s="8">
        <v>31</v>
      </c>
      <c r="H538" s="8">
        <v>415</v>
      </c>
    </row>
    <row r="539" spans="1:8" ht="13.5" customHeight="1">
      <c r="A539" s="37" t="s">
        <v>31</v>
      </c>
      <c r="B539" s="36"/>
      <c r="C539" s="36"/>
      <c r="D539" s="36"/>
      <c r="E539" s="36"/>
      <c r="F539" s="36"/>
      <c r="G539" s="36"/>
      <c r="H539" s="36"/>
    </row>
    <row r="540" spans="1:8" ht="13.5" customHeight="1">
      <c r="A540" s="9" t="s">
        <v>32</v>
      </c>
      <c r="B540" s="8">
        <v>101</v>
      </c>
      <c r="C540" s="8">
        <v>1</v>
      </c>
      <c r="D540" s="8">
        <v>55</v>
      </c>
      <c r="E540" s="8">
        <v>7</v>
      </c>
      <c r="F540" s="8">
        <v>19</v>
      </c>
      <c r="G540" s="8">
        <v>8</v>
      </c>
      <c r="H540" s="8">
        <v>11</v>
      </c>
    </row>
    <row r="541" spans="1:8" ht="13.5" customHeight="1">
      <c r="A541" s="9" t="s">
        <v>33</v>
      </c>
      <c r="B541" s="8">
        <v>153</v>
      </c>
      <c r="C541" s="8">
        <v>1</v>
      </c>
      <c r="D541" s="8">
        <v>26</v>
      </c>
      <c r="E541" s="8">
        <v>35</v>
      </c>
      <c r="F541" s="8">
        <v>41</v>
      </c>
      <c r="G541" s="8">
        <v>18</v>
      </c>
      <c r="H541" s="8">
        <v>32</v>
      </c>
    </row>
    <row r="542" spans="1:8" ht="13.5" customHeight="1">
      <c r="A542" s="9" t="s">
        <v>34</v>
      </c>
      <c r="B542" s="8">
        <v>6365</v>
      </c>
      <c r="C542" s="8">
        <v>82</v>
      </c>
      <c r="D542" s="8">
        <v>2165</v>
      </c>
      <c r="E542" s="8">
        <v>407</v>
      </c>
      <c r="F542" s="8">
        <v>765</v>
      </c>
      <c r="G542" s="8">
        <v>843</v>
      </c>
      <c r="H542" s="8">
        <v>2103</v>
      </c>
    </row>
    <row r="543" spans="1:8" ht="13.5" customHeight="1">
      <c r="A543" s="9" t="s">
        <v>35</v>
      </c>
      <c r="B543" s="8">
        <v>1108</v>
      </c>
      <c r="C543" s="8">
        <v>26</v>
      </c>
      <c r="D543" s="8">
        <v>156</v>
      </c>
      <c r="E543" s="8">
        <v>45</v>
      </c>
      <c r="F543" s="8">
        <v>90</v>
      </c>
      <c r="G543" s="8">
        <v>259</v>
      </c>
      <c r="H543" s="8">
        <v>532</v>
      </c>
    </row>
    <row r="544" spans="1:8" ht="13.5" customHeight="1">
      <c r="A544" s="9" t="s">
        <v>36</v>
      </c>
      <c r="B544" s="8">
        <v>1034</v>
      </c>
      <c r="C544" s="8">
        <v>34</v>
      </c>
      <c r="D544" s="8">
        <v>190</v>
      </c>
      <c r="E544" s="8">
        <v>50</v>
      </c>
      <c r="F544" s="8">
        <v>124</v>
      </c>
      <c r="G544" s="8">
        <v>139</v>
      </c>
      <c r="H544" s="8">
        <v>497</v>
      </c>
    </row>
    <row r="545" spans="1:10" ht="13.5" customHeight="1">
      <c r="A545" s="9" t="s">
        <v>37</v>
      </c>
      <c r="B545" s="8">
        <v>22</v>
      </c>
      <c r="C545" s="8">
        <v>0</v>
      </c>
      <c r="D545" s="8">
        <v>13</v>
      </c>
      <c r="E545" s="8">
        <v>3</v>
      </c>
      <c r="F545" s="8">
        <v>1</v>
      </c>
      <c r="G545" s="8">
        <v>3</v>
      </c>
      <c r="H545" s="8">
        <v>2</v>
      </c>
    </row>
    <row r="546" spans="1:10" ht="13.5" customHeight="1">
      <c r="A546" s="9"/>
      <c r="B546" s="8"/>
      <c r="C546" s="8"/>
      <c r="D546" s="8"/>
      <c r="E546" s="8"/>
      <c r="F546" s="8"/>
      <c r="G546" s="8"/>
      <c r="H546" s="8"/>
    </row>
    <row r="547" spans="1:10" ht="13.5" customHeight="1">
      <c r="A547" s="10" t="s">
        <v>84</v>
      </c>
      <c r="B547" s="8"/>
      <c r="C547" s="8"/>
      <c r="D547" s="8"/>
      <c r="E547" s="8"/>
      <c r="F547" s="8"/>
      <c r="G547" s="8"/>
      <c r="H547" s="8"/>
    </row>
    <row r="548" spans="1:10" ht="13.5" customHeight="1">
      <c r="A548" s="10"/>
      <c r="B548" s="8"/>
      <c r="C548" s="8"/>
      <c r="D548" s="8"/>
      <c r="E548" s="8"/>
      <c r="F548" s="8"/>
      <c r="G548" s="8"/>
      <c r="H548" s="8"/>
    </row>
    <row r="549" spans="1:10" ht="13.5" customHeight="1">
      <c r="A549" s="28" t="s">
        <v>102</v>
      </c>
    </row>
    <row r="552" spans="1:10" ht="13.5" customHeight="1">
      <c r="A552" s="24" t="s">
        <v>208</v>
      </c>
      <c r="B552" s="19"/>
      <c r="C552" s="19"/>
      <c r="D552" s="19"/>
      <c r="E552" s="19"/>
      <c r="F552" s="20"/>
      <c r="G552" s="19"/>
      <c r="H552" s="21"/>
    </row>
    <row r="553" spans="1:10" ht="13.5" customHeight="1">
      <c r="A553" s="19" t="s">
        <v>1</v>
      </c>
      <c r="B553" s="22"/>
      <c r="C553" s="22"/>
      <c r="D553" s="19"/>
      <c r="E553" s="19"/>
      <c r="F553" s="19"/>
      <c r="G553" s="19"/>
      <c r="H553" s="23"/>
    </row>
    <row r="554" spans="1:10" ht="13.5" customHeight="1">
      <c r="A554" s="19"/>
      <c r="B554" s="22"/>
      <c r="C554" s="22"/>
      <c r="D554" s="19"/>
      <c r="E554" s="19"/>
      <c r="F554" s="19"/>
      <c r="G554" s="19"/>
      <c r="H554" s="23"/>
    </row>
    <row r="555" spans="1:10" ht="13.5" customHeight="1">
      <c r="A555" s="31"/>
      <c r="B555" s="32"/>
      <c r="C555" s="33"/>
      <c r="D555" s="33"/>
      <c r="E555" s="33"/>
      <c r="F555" s="33"/>
      <c r="G555" s="33"/>
      <c r="H555" s="34" t="s">
        <v>83</v>
      </c>
      <c r="J555" s="170" t="s">
        <v>126</v>
      </c>
    </row>
    <row r="556" spans="1:10" ht="13.5" customHeight="1">
      <c r="A556" s="30"/>
      <c r="B556" s="38" t="s">
        <v>2</v>
      </c>
      <c r="C556" s="31">
        <v>0</v>
      </c>
      <c r="D556" s="31">
        <v>1</v>
      </c>
      <c r="E556" s="31">
        <v>2</v>
      </c>
      <c r="F556" s="38" t="s">
        <v>3</v>
      </c>
      <c r="G556" s="38" t="s">
        <v>4</v>
      </c>
      <c r="H556" s="38" t="s">
        <v>64</v>
      </c>
    </row>
    <row r="557" spans="1:10" ht="13.5" customHeight="1">
      <c r="A557" s="37" t="s">
        <v>2</v>
      </c>
      <c r="B557" s="36">
        <v>8825</v>
      </c>
      <c r="C557" s="36">
        <v>164</v>
      </c>
      <c r="D557" s="36">
        <v>2631</v>
      </c>
      <c r="E557" s="36">
        <v>581</v>
      </c>
      <c r="F557" s="36">
        <v>1051</v>
      </c>
      <c r="G557" s="36">
        <v>1238</v>
      </c>
      <c r="H557" s="36">
        <v>3160</v>
      </c>
    </row>
    <row r="558" spans="1:10" ht="13.5" customHeight="1">
      <c r="A558" s="37" t="s">
        <v>5</v>
      </c>
      <c r="B558" s="36"/>
      <c r="C558" s="36"/>
      <c r="D558" s="36"/>
      <c r="E558" s="36"/>
      <c r="F558" s="36"/>
      <c r="G558" s="36"/>
      <c r="H558" s="36"/>
    </row>
    <row r="559" spans="1:10" ht="13.5" customHeight="1">
      <c r="A559" s="9" t="s">
        <v>6</v>
      </c>
      <c r="B559" s="8">
        <v>2201</v>
      </c>
      <c r="C559" s="8">
        <v>0</v>
      </c>
      <c r="D559" s="8">
        <v>2201</v>
      </c>
      <c r="E559" s="8">
        <v>0</v>
      </c>
      <c r="F559" s="8">
        <v>0</v>
      </c>
      <c r="G559" s="8">
        <v>0</v>
      </c>
      <c r="H559" s="8">
        <v>0</v>
      </c>
    </row>
    <row r="560" spans="1:10" ht="13.5" customHeight="1">
      <c r="A560" s="9" t="s">
        <v>7</v>
      </c>
      <c r="B560" s="8">
        <v>3923</v>
      </c>
      <c r="C560" s="8">
        <v>0</v>
      </c>
      <c r="D560" s="8">
        <v>0</v>
      </c>
      <c r="E560" s="8">
        <v>409</v>
      </c>
      <c r="F560" s="8">
        <v>712</v>
      </c>
      <c r="G560" s="8">
        <v>779</v>
      </c>
      <c r="H560" s="8">
        <v>2023</v>
      </c>
    </row>
    <row r="561" spans="1:8" ht="13.5" customHeight="1">
      <c r="A561" s="9" t="s">
        <v>8</v>
      </c>
      <c r="B561" s="8">
        <v>2073</v>
      </c>
      <c r="C561" s="8">
        <v>0</v>
      </c>
      <c r="D561" s="8">
        <v>159</v>
      </c>
      <c r="E561" s="8">
        <v>104</v>
      </c>
      <c r="F561" s="8">
        <v>282</v>
      </c>
      <c r="G561" s="8">
        <v>424</v>
      </c>
      <c r="H561" s="8">
        <v>1104</v>
      </c>
    </row>
    <row r="562" spans="1:8" ht="13.5" customHeight="1">
      <c r="A562" s="10" t="s">
        <v>65</v>
      </c>
      <c r="B562" s="8">
        <v>628</v>
      </c>
      <c r="C562" s="8">
        <v>164</v>
      </c>
      <c r="D562" s="8">
        <v>271</v>
      </c>
      <c r="E562" s="8">
        <v>68</v>
      </c>
      <c r="F562" s="8">
        <v>57</v>
      </c>
      <c r="G562" s="8">
        <v>35</v>
      </c>
      <c r="H562" s="8">
        <v>33</v>
      </c>
    </row>
    <row r="563" spans="1:8" ht="13.5" customHeight="1">
      <c r="A563" s="37" t="s">
        <v>9</v>
      </c>
      <c r="B563" s="36"/>
      <c r="C563" s="36"/>
      <c r="D563" s="36"/>
      <c r="E563" s="36"/>
      <c r="F563" s="36"/>
      <c r="G563" s="36"/>
      <c r="H563" s="36"/>
    </row>
    <row r="564" spans="1:8" ht="13.5" customHeight="1">
      <c r="A564" s="9" t="s">
        <v>10</v>
      </c>
      <c r="B564" s="8">
        <v>2119</v>
      </c>
      <c r="C564" s="8">
        <v>73</v>
      </c>
      <c r="D564" s="8">
        <v>494</v>
      </c>
      <c r="E564" s="8">
        <v>205</v>
      </c>
      <c r="F564" s="8">
        <v>536</v>
      </c>
      <c r="G564" s="8">
        <v>362</v>
      </c>
      <c r="H564" s="8">
        <v>449</v>
      </c>
    </row>
    <row r="565" spans="1:8" ht="13.5" customHeight="1">
      <c r="A565" s="9" t="s">
        <v>11</v>
      </c>
      <c r="B565" s="8">
        <v>2139</v>
      </c>
      <c r="C565" s="8">
        <v>20</v>
      </c>
      <c r="D565" s="8">
        <v>648</v>
      </c>
      <c r="E565" s="8">
        <v>149</v>
      </c>
      <c r="F565" s="8">
        <v>283</v>
      </c>
      <c r="G565" s="8">
        <v>378</v>
      </c>
      <c r="H565" s="8">
        <v>661</v>
      </c>
    </row>
    <row r="566" spans="1:8" ht="13.5" customHeight="1">
      <c r="A566" s="9" t="s">
        <v>12</v>
      </c>
      <c r="B566" s="8">
        <v>1668</v>
      </c>
      <c r="C566" s="8">
        <v>15</v>
      </c>
      <c r="D566" s="8">
        <v>436</v>
      </c>
      <c r="E566" s="8">
        <v>93</v>
      </c>
      <c r="F566" s="8">
        <v>71</v>
      </c>
      <c r="G566" s="8">
        <v>175</v>
      </c>
      <c r="H566" s="8">
        <v>878</v>
      </c>
    </row>
    <row r="567" spans="1:8" ht="13.5" customHeight="1">
      <c r="A567" s="9" t="s">
        <v>13</v>
      </c>
      <c r="B567" s="8">
        <v>870</v>
      </c>
      <c r="C567" s="8">
        <v>24</v>
      </c>
      <c r="D567" s="8">
        <v>173</v>
      </c>
      <c r="E567" s="8">
        <v>32</v>
      </c>
      <c r="F567" s="8">
        <v>52</v>
      </c>
      <c r="G567" s="8">
        <v>54</v>
      </c>
      <c r="H567" s="8">
        <v>535</v>
      </c>
    </row>
    <row r="568" spans="1:8" ht="13.5" customHeight="1">
      <c r="A568" s="9" t="s">
        <v>14</v>
      </c>
      <c r="B568" s="8">
        <v>484</v>
      </c>
      <c r="C568" s="8">
        <v>12</v>
      </c>
      <c r="D568" s="8">
        <v>136</v>
      </c>
      <c r="E568" s="8">
        <v>20</v>
      </c>
      <c r="F568" s="8">
        <v>20</v>
      </c>
      <c r="G568" s="8">
        <v>62</v>
      </c>
      <c r="H568" s="8">
        <v>234</v>
      </c>
    </row>
    <row r="569" spans="1:8" ht="13.5" customHeight="1">
      <c r="A569" s="9" t="s">
        <v>15</v>
      </c>
      <c r="B569" s="8">
        <v>246</v>
      </c>
      <c r="C569" s="8">
        <v>0</v>
      </c>
      <c r="D569" s="8">
        <v>107</v>
      </c>
      <c r="E569" s="8">
        <v>20</v>
      </c>
      <c r="F569" s="8">
        <v>5</v>
      </c>
      <c r="G569" s="8">
        <v>31</v>
      </c>
      <c r="H569" s="8">
        <v>83</v>
      </c>
    </row>
    <row r="570" spans="1:8" ht="13.5" customHeight="1">
      <c r="A570" s="9" t="s">
        <v>16</v>
      </c>
      <c r="B570" s="8">
        <v>287</v>
      </c>
      <c r="C570" s="8">
        <v>5</v>
      </c>
      <c r="D570" s="8">
        <v>130</v>
      </c>
      <c r="E570" s="8">
        <v>7</v>
      </c>
      <c r="F570" s="8">
        <v>8</v>
      </c>
      <c r="G570" s="8">
        <v>57</v>
      </c>
      <c r="H570" s="8">
        <v>80</v>
      </c>
    </row>
    <row r="571" spans="1:8" ht="13.5" customHeight="1">
      <c r="A571" s="9" t="s">
        <v>17</v>
      </c>
      <c r="B571" s="8">
        <v>178</v>
      </c>
      <c r="C571" s="8">
        <v>5</v>
      </c>
      <c r="D571" s="8">
        <v>91</v>
      </c>
      <c r="E571" s="8">
        <v>11</v>
      </c>
      <c r="F571" s="8">
        <v>9</v>
      </c>
      <c r="G571" s="8">
        <v>30</v>
      </c>
      <c r="H571" s="8">
        <v>32</v>
      </c>
    </row>
    <row r="572" spans="1:8" ht="13.5" customHeight="1">
      <c r="A572" s="9" t="s">
        <v>18</v>
      </c>
      <c r="B572" s="8">
        <v>199</v>
      </c>
      <c r="C572" s="8">
        <v>0</v>
      </c>
      <c r="D572" s="8">
        <v>120</v>
      </c>
      <c r="E572" s="8">
        <v>10</v>
      </c>
      <c r="F572" s="8">
        <v>12</v>
      </c>
      <c r="G572" s="8">
        <v>15</v>
      </c>
      <c r="H572" s="8">
        <v>42</v>
      </c>
    </row>
    <row r="573" spans="1:8" ht="13.5" customHeight="1">
      <c r="A573" s="9" t="s">
        <v>19</v>
      </c>
      <c r="B573" s="8">
        <v>187</v>
      </c>
      <c r="C573" s="8">
        <v>3</v>
      </c>
      <c r="D573" s="8">
        <v>92</v>
      </c>
      <c r="E573" s="8">
        <v>9</v>
      </c>
      <c r="F573" s="8">
        <v>15</v>
      </c>
      <c r="G573" s="8">
        <v>17</v>
      </c>
      <c r="H573" s="8">
        <v>51</v>
      </c>
    </row>
    <row r="574" spans="1:8" ht="13.5" customHeight="1">
      <c r="A574" s="9" t="s">
        <v>20</v>
      </c>
      <c r="B574" s="8">
        <v>382</v>
      </c>
      <c r="C574" s="8">
        <v>7</v>
      </c>
      <c r="D574" s="8">
        <v>190</v>
      </c>
      <c r="E574" s="8">
        <v>20</v>
      </c>
      <c r="F574" s="8">
        <v>33</v>
      </c>
      <c r="G574" s="8">
        <v>41</v>
      </c>
      <c r="H574" s="8">
        <v>91</v>
      </c>
    </row>
    <row r="575" spans="1:8" ht="13.5" customHeight="1">
      <c r="A575" s="9" t="s">
        <v>132</v>
      </c>
      <c r="B575" s="8">
        <v>66</v>
      </c>
      <c r="C575" s="8">
        <v>0</v>
      </c>
      <c r="D575" s="8">
        <v>14</v>
      </c>
      <c r="E575" s="8">
        <v>5</v>
      </c>
      <c r="F575" s="8">
        <v>7</v>
      </c>
      <c r="G575" s="8">
        <v>16</v>
      </c>
      <c r="H575" s="8">
        <v>24</v>
      </c>
    </row>
    <row r="576" spans="1:8" ht="13.5" customHeight="1">
      <c r="A576" s="37" t="s">
        <v>22</v>
      </c>
      <c r="B576" s="36"/>
      <c r="C576" s="36"/>
      <c r="D576" s="36"/>
      <c r="E576" s="36"/>
      <c r="F576" s="36"/>
      <c r="G576" s="36"/>
      <c r="H576" s="36"/>
    </row>
    <row r="577" spans="1:8" ht="13.5" customHeight="1">
      <c r="A577" s="9" t="s">
        <v>23</v>
      </c>
      <c r="B577" s="8">
        <v>111</v>
      </c>
      <c r="C577" s="8">
        <v>11</v>
      </c>
      <c r="D577" s="8">
        <v>93</v>
      </c>
      <c r="E577" s="8">
        <v>6</v>
      </c>
      <c r="F577" s="8">
        <v>1</v>
      </c>
      <c r="G577" s="8">
        <v>0</v>
      </c>
      <c r="H577" s="8">
        <v>0</v>
      </c>
    </row>
    <row r="578" spans="1:8" ht="13.5" customHeight="1">
      <c r="A578" s="9" t="s">
        <v>24</v>
      </c>
      <c r="B578" s="8">
        <v>1500</v>
      </c>
      <c r="C578" s="8">
        <v>93</v>
      </c>
      <c r="D578" s="8">
        <v>1199</v>
      </c>
      <c r="E578" s="8">
        <v>156</v>
      </c>
      <c r="F578" s="8">
        <v>37</v>
      </c>
      <c r="G578" s="8">
        <v>9</v>
      </c>
      <c r="H578" s="8">
        <v>6</v>
      </c>
    </row>
    <row r="579" spans="1:8" ht="13.5" customHeight="1">
      <c r="A579" s="9" t="s">
        <v>25</v>
      </c>
      <c r="B579" s="8">
        <v>1816</v>
      </c>
      <c r="C579" s="8">
        <v>15</v>
      </c>
      <c r="D579" s="8">
        <v>988</v>
      </c>
      <c r="E579" s="8">
        <v>273</v>
      </c>
      <c r="F579" s="8">
        <v>366</v>
      </c>
      <c r="G579" s="8">
        <v>136</v>
      </c>
      <c r="H579" s="8">
        <v>38</v>
      </c>
    </row>
    <row r="580" spans="1:8" ht="13.5" customHeight="1">
      <c r="A580" s="9" t="s">
        <v>26</v>
      </c>
      <c r="B580" s="8">
        <v>1590</v>
      </c>
      <c r="C580" s="8">
        <v>8</v>
      </c>
      <c r="D580" s="8">
        <v>224</v>
      </c>
      <c r="E580" s="8">
        <v>79</v>
      </c>
      <c r="F580" s="8">
        <v>363</v>
      </c>
      <c r="G580" s="8">
        <v>494</v>
      </c>
      <c r="H580" s="8">
        <v>422</v>
      </c>
    </row>
    <row r="581" spans="1:8" ht="13.5" customHeight="1">
      <c r="A581" s="9" t="s">
        <v>27</v>
      </c>
      <c r="B581" s="8">
        <v>1639</v>
      </c>
      <c r="C581" s="8">
        <v>15</v>
      </c>
      <c r="D581" s="8">
        <v>55</v>
      </c>
      <c r="E581" s="8">
        <v>28</v>
      </c>
      <c r="F581" s="8">
        <v>172</v>
      </c>
      <c r="G581" s="8">
        <v>397</v>
      </c>
      <c r="H581" s="8">
        <v>972</v>
      </c>
    </row>
    <row r="582" spans="1:8" ht="13.5" customHeight="1">
      <c r="A582" s="9" t="s">
        <v>28</v>
      </c>
      <c r="B582" s="8">
        <v>1051</v>
      </c>
      <c r="C582" s="8">
        <v>11</v>
      </c>
      <c r="D582" s="8">
        <v>32</v>
      </c>
      <c r="E582" s="8">
        <v>21</v>
      </c>
      <c r="F582" s="8">
        <v>68</v>
      </c>
      <c r="G582" s="8">
        <v>129</v>
      </c>
      <c r="H582" s="8">
        <v>790</v>
      </c>
    </row>
    <row r="583" spans="1:8" ht="13.5" customHeight="1">
      <c r="A583" s="9" t="s">
        <v>29</v>
      </c>
      <c r="B583" s="8">
        <v>642</v>
      </c>
      <c r="C583" s="8">
        <v>7</v>
      </c>
      <c r="D583" s="8">
        <v>27</v>
      </c>
      <c r="E583" s="8">
        <v>11</v>
      </c>
      <c r="F583" s="8">
        <v>33</v>
      </c>
      <c r="G583" s="8">
        <v>44</v>
      </c>
      <c r="H583" s="8">
        <v>520</v>
      </c>
    </row>
    <row r="584" spans="1:8" ht="13.5" customHeight="1">
      <c r="A584" s="9" t="s">
        <v>30</v>
      </c>
      <c r="B584" s="8">
        <v>476</v>
      </c>
      <c r="C584" s="8">
        <v>4</v>
      </c>
      <c r="D584" s="8">
        <v>13</v>
      </c>
      <c r="E584" s="8">
        <v>7</v>
      </c>
      <c r="F584" s="8">
        <v>11</v>
      </c>
      <c r="G584" s="8">
        <v>29</v>
      </c>
      <c r="H584" s="8">
        <v>412</v>
      </c>
    </row>
    <row r="585" spans="1:8" ht="13.5" customHeight="1">
      <c r="A585" s="37" t="s">
        <v>31</v>
      </c>
      <c r="B585" s="36"/>
      <c r="C585" s="36"/>
      <c r="D585" s="36"/>
      <c r="E585" s="36"/>
      <c r="F585" s="36"/>
      <c r="G585" s="36"/>
      <c r="H585" s="36"/>
    </row>
    <row r="586" spans="1:8" ht="13.5" customHeight="1">
      <c r="A586" s="9" t="s">
        <v>38</v>
      </c>
      <c r="B586" s="8">
        <v>1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1</v>
      </c>
    </row>
    <row r="587" spans="1:8" ht="13.5" customHeight="1">
      <c r="A587" s="9" t="s">
        <v>32</v>
      </c>
      <c r="B587" s="8">
        <v>127</v>
      </c>
      <c r="C587" s="8">
        <v>1</v>
      </c>
      <c r="D587" s="8">
        <v>71</v>
      </c>
      <c r="E587" s="8">
        <v>8</v>
      </c>
      <c r="F587" s="8">
        <v>25</v>
      </c>
      <c r="G587" s="8">
        <v>10</v>
      </c>
      <c r="H587" s="8">
        <v>12</v>
      </c>
    </row>
    <row r="588" spans="1:8" ht="13.5" customHeight="1">
      <c r="A588" s="9" t="s">
        <v>33</v>
      </c>
      <c r="B588" s="8">
        <v>175</v>
      </c>
      <c r="C588" s="8">
        <v>3</v>
      </c>
      <c r="D588" s="8">
        <v>36</v>
      </c>
      <c r="E588" s="8">
        <v>44</v>
      </c>
      <c r="F588" s="8">
        <v>42</v>
      </c>
      <c r="G588" s="8">
        <v>17</v>
      </c>
      <c r="H588" s="8">
        <v>33</v>
      </c>
    </row>
    <row r="589" spans="1:8" ht="13.5" customHeight="1">
      <c r="A589" s="9" t="s">
        <v>34</v>
      </c>
      <c r="B589" s="8">
        <v>6431</v>
      </c>
      <c r="C589" s="8">
        <v>100</v>
      </c>
      <c r="D589" s="8">
        <v>2182</v>
      </c>
      <c r="E589" s="8">
        <v>437</v>
      </c>
      <c r="F589" s="8">
        <v>774</v>
      </c>
      <c r="G589" s="8">
        <v>828</v>
      </c>
      <c r="H589" s="8">
        <v>2110</v>
      </c>
    </row>
    <row r="590" spans="1:8" ht="13.5" customHeight="1">
      <c r="A590" s="9" t="s">
        <v>35</v>
      </c>
      <c r="B590" s="8">
        <v>1084</v>
      </c>
      <c r="C590" s="8">
        <v>20</v>
      </c>
      <c r="D590" s="8">
        <v>150</v>
      </c>
      <c r="E590" s="8">
        <v>46</v>
      </c>
      <c r="F590" s="8">
        <v>87</v>
      </c>
      <c r="G590" s="8">
        <v>260</v>
      </c>
      <c r="H590" s="8">
        <v>521</v>
      </c>
    </row>
    <row r="591" spans="1:8" ht="13.5" customHeight="1">
      <c r="A591" s="9" t="s">
        <v>36</v>
      </c>
      <c r="B591" s="8">
        <v>990</v>
      </c>
      <c r="C591" s="8">
        <v>40</v>
      </c>
      <c r="D591" s="8">
        <v>180</v>
      </c>
      <c r="E591" s="8">
        <v>46</v>
      </c>
      <c r="F591" s="8">
        <v>122</v>
      </c>
      <c r="G591" s="8">
        <v>122</v>
      </c>
      <c r="H591" s="8">
        <v>480</v>
      </c>
    </row>
    <row r="592" spans="1:8" ht="13.5" customHeight="1">
      <c r="A592" s="9" t="s">
        <v>37</v>
      </c>
      <c r="B592" s="8">
        <v>17</v>
      </c>
      <c r="C592" s="8">
        <v>0</v>
      </c>
      <c r="D592" s="8">
        <v>12</v>
      </c>
      <c r="E592" s="8">
        <v>0</v>
      </c>
      <c r="F592" s="8">
        <v>1</v>
      </c>
      <c r="G592" s="8">
        <v>1</v>
      </c>
      <c r="H592" s="8">
        <v>3</v>
      </c>
    </row>
    <row r="593" spans="1:10" ht="13.5" customHeight="1">
      <c r="A593" s="9"/>
      <c r="B593" s="8"/>
      <c r="C593" s="8"/>
      <c r="D593" s="8"/>
      <c r="E593" s="8"/>
      <c r="F593" s="8"/>
      <c r="G593" s="8"/>
      <c r="H593" s="8"/>
    </row>
    <row r="594" spans="1:10" ht="13.5" customHeight="1">
      <c r="A594" s="98" t="s">
        <v>85</v>
      </c>
      <c r="B594" s="8"/>
      <c r="C594" s="8"/>
      <c r="D594" s="8"/>
      <c r="E594" s="8"/>
      <c r="F594" s="8"/>
      <c r="G594" s="8"/>
      <c r="H594" s="8"/>
    </row>
    <row r="595" spans="1:10" ht="13.5" customHeight="1">
      <c r="B595" s="19"/>
      <c r="C595" s="19"/>
      <c r="D595" s="19"/>
      <c r="E595" s="19"/>
      <c r="F595" s="19"/>
      <c r="G595" s="19"/>
      <c r="H595" s="19"/>
    </row>
    <row r="596" spans="1:10" ht="13.5" customHeight="1">
      <c r="A596" s="29" t="s">
        <v>102</v>
      </c>
    </row>
    <row r="599" spans="1:10" ht="13.5" customHeight="1">
      <c r="A599" s="24" t="s">
        <v>209</v>
      </c>
      <c r="B599" s="19"/>
      <c r="C599" s="19"/>
      <c r="D599" s="19"/>
      <c r="E599" s="19"/>
      <c r="F599" s="20"/>
      <c r="G599" s="19"/>
      <c r="H599" s="21"/>
    </row>
    <row r="600" spans="1:10" ht="13.5" customHeight="1">
      <c r="A600" s="19" t="s">
        <v>1</v>
      </c>
      <c r="B600" s="22"/>
      <c r="C600" s="22"/>
      <c r="D600" s="19"/>
      <c r="E600" s="19"/>
      <c r="F600" s="19"/>
      <c r="G600" s="19"/>
      <c r="H600" s="23"/>
    </row>
    <row r="601" spans="1:10" ht="13.5" customHeight="1">
      <c r="A601" s="19"/>
      <c r="B601" s="22"/>
      <c r="C601" s="22"/>
      <c r="D601" s="19"/>
      <c r="E601" s="19"/>
      <c r="F601" s="19"/>
      <c r="G601" s="19"/>
      <c r="H601" s="23"/>
    </row>
    <row r="602" spans="1:10" ht="13.5" customHeight="1">
      <c r="A602" s="31"/>
      <c r="B602" s="32"/>
      <c r="C602" s="33"/>
      <c r="D602" s="33"/>
      <c r="E602" s="33"/>
      <c r="F602" s="33"/>
      <c r="G602" s="33"/>
      <c r="H602" s="34" t="s">
        <v>83</v>
      </c>
      <c r="J602" s="170" t="s">
        <v>126</v>
      </c>
    </row>
    <row r="603" spans="1:10" ht="13.5" customHeight="1">
      <c r="A603" s="30"/>
      <c r="B603" s="38" t="s">
        <v>2</v>
      </c>
      <c r="C603" s="31">
        <v>0</v>
      </c>
      <c r="D603" s="31">
        <v>1</v>
      </c>
      <c r="E603" s="31">
        <v>2</v>
      </c>
      <c r="F603" s="38" t="s">
        <v>3</v>
      </c>
      <c r="G603" s="38" t="s">
        <v>4</v>
      </c>
      <c r="H603" s="38" t="s">
        <v>64</v>
      </c>
    </row>
    <row r="604" spans="1:10" ht="13.5" customHeight="1">
      <c r="A604" s="37" t="s">
        <v>2</v>
      </c>
      <c r="B604" s="36">
        <f>SUM(B606:B609)</f>
        <v>8773</v>
      </c>
      <c r="C604" s="36">
        <f t="shared" ref="C604:H604" si="5">SUM(C606:C609)</f>
        <v>208</v>
      </c>
      <c r="D604" s="36">
        <f t="shared" si="5"/>
        <v>2600</v>
      </c>
      <c r="E604" s="36">
        <f t="shared" si="5"/>
        <v>582</v>
      </c>
      <c r="F604" s="36">
        <f t="shared" si="5"/>
        <v>1037</v>
      </c>
      <c r="G604" s="36">
        <f t="shared" si="5"/>
        <v>1234</v>
      </c>
      <c r="H604" s="36">
        <f t="shared" si="5"/>
        <v>3112</v>
      </c>
    </row>
    <row r="605" spans="1:10" ht="13.5" customHeight="1">
      <c r="A605" s="37" t="s">
        <v>5</v>
      </c>
      <c r="B605" s="36"/>
      <c r="C605" s="36"/>
      <c r="D605" s="36"/>
      <c r="E605" s="36"/>
      <c r="F605" s="36"/>
      <c r="G605" s="36"/>
      <c r="H605" s="36"/>
    </row>
    <row r="606" spans="1:10" ht="13.5" customHeight="1">
      <c r="A606" s="9" t="s">
        <v>6</v>
      </c>
      <c r="B606" s="8">
        <v>2152</v>
      </c>
      <c r="C606" s="8">
        <v>0</v>
      </c>
      <c r="D606" s="8">
        <v>2152</v>
      </c>
      <c r="E606" s="8">
        <v>0</v>
      </c>
      <c r="F606" s="8">
        <v>0</v>
      </c>
      <c r="G606" s="8">
        <v>0</v>
      </c>
      <c r="H606" s="8">
        <v>0</v>
      </c>
    </row>
    <row r="607" spans="1:10" ht="13.5" customHeight="1">
      <c r="A607" s="9" t="s">
        <v>7</v>
      </c>
      <c r="B607" s="8">
        <v>3878</v>
      </c>
      <c r="C607" s="8">
        <v>0</v>
      </c>
      <c r="D607" s="8">
        <v>0</v>
      </c>
      <c r="E607" s="8">
        <v>408</v>
      </c>
      <c r="F607" s="8">
        <v>697</v>
      </c>
      <c r="G607" s="8">
        <v>780</v>
      </c>
      <c r="H607" s="8">
        <v>1993</v>
      </c>
    </row>
    <row r="608" spans="1:10" ht="13.5" customHeight="1">
      <c r="A608" s="9" t="s">
        <v>8</v>
      </c>
      <c r="B608" s="8">
        <v>2046</v>
      </c>
      <c r="C608" s="8">
        <v>0</v>
      </c>
      <c r="D608" s="8">
        <v>163</v>
      </c>
      <c r="E608" s="8">
        <v>105</v>
      </c>
      <c r="F608" s="8">
        <v>278</v>
      </c>
      <c r="G608" s="8">
        <v>415</v>
      </c>
      <c r="H608" s="8">
        <v>1085</v>
      </c>
    </row>
    <row r="609" spans="1:8" ht="13.5" customHeight="1">
      <c r="A609" s="10" t="s">
        <v>65</v>
      </c>
      <c r="B609" s="8">
        <v>697</v>
      </c>
      <c r="C609" s="8">
        <v>208</v>
      </c>
      <c r="D609" s="8">
        <v>285</v>
      </c>
      <c r="E609" s="8">
        <v>69</v>
      </c>
      <c r="F609" s="8">
        <v>62</v>
      </c>
      <c r="G609" s="8">
        <v>39</v>
      </c>
      <c r="H609" s="8">
        <v>34</v>
      </c>
    </row>
    <row r="610" spans="1:8" ht="13.5" customHeight="1">
      <c r="A610" s="37" t="s">
        <v>9</v>
      </c>
      <c r="B610" s="36"/>
      <c r="C610" s="36"/>
      <c r="D610" s="36"/>
      <c r="E610" s="36"/>
      <c r="F610" s="36"/>
      <c r="G610" s="36"/>
      <c r="H610" s="36"/>
    </row>
    <row r="611" spans="1:8" ht="13.5" customHeight="1">
      <c r="A611" s="9" t="s">
        <v>10</v>
      </c>
      <c r="B611" s="8">
        <v>2222</v>
      </c>
      <c r="C611" s="8">
        <v>72</v>
      </c>
      <c r="D611" s="8">
        <v>524</v>
      </c>
      <c r="E611" s="8">
        <v>201</v>
      </c>
      <c r="F611" s="8">
        <v>536</v>
      </c>
      <c r="G611" s="8">
        <v>379</v>
      </c>
      <c r="H611" s="8">
        <v>510</v>
      </c>
    </row>
    <row r="612" spans="1:8" ht="13.5" customHeight="1">
      <c r="A612" s="9" t="s">
        <v>11</v>
      </c>
      <c r="B612" s="8">
        <v>2035</v>
      </c>
      <c r="C612" s="8">
        <v>28</v>
      </c>
      <c r="D612" s="8">
        <v>614</v>
      </c>
      <c r="E612" s="8">
        <v>150</v>
      </c>
      <c r="F612" s="8">
        <v>260</v>
      </c>
      <c r="G612" s="8">
        <v>354</v>
      </c>
      <c r="H612" s="8">
        <v>629</v>
      </c>
    </row>
    <row r="613" spans="1:8" ht="13.5" customHeight="1">
      <c r="A613" s="9" t="s">
        <v>12</v>
      </c>
      <c r="B613" s="8">
        <v>1663</v>
      </c>
      <c r="C613" s="8">
        <v>30</v>
      </c>
      <c r="D613" s="8">
        <v>449</v>
      </c>
      <c r="E613" s="8">
        <v>99</v>
      </c>
      <c r="F613" s="8">
        <v>87</v>
      </c>
      <c r="G613" s="8">
        <v>178</v>
      </c>
      <c r="H613" s="8">
        <v>820</v>
      </c>
    </row>
    <row r="614" spans="1:8" ht="13.5" customHeight="1">
      <c r="A614" s="9" t="s">
        <v>13</v>
      </c>
      <c r="B614" s="8">
        <v>856</v>
      </c>
      <c r="C614" s="8">
        <v>29</v>
      </c>
      <c r="D614" s="8">
        <v>188</v>
      </c>
      <c r="E614" s="8">
        <v>33</v>
      </c>
      <c r="F614" s="8">
        <v>53</v>
      </c>
      <c r="G614" s="8">
        <v>59</v>
      </c>
      <c r="H614" s="8">
        <v>494</v>
      </c>
    </row>
    <row r="615" spans="1:8" ht="13.5" customHeight="1">
      <c r="A615" s="9" t="s">
        <v>14</v>
      </c>
      <c r="B615" s="8">
        <v>517</v>
      </c>
      <c r="C615" s="8">
        <v>10</v>
      </c>
      <c r="D615" s="8">
        <v>142</v>
      </c>
      <c r="E615" s="8">
        <v>21</v>
      </c>
      <c r="F615" s="8">
        <v>28</v>
      </c>
      <c r="G615" s="8">
        <v>73</v>
      </c>
      <c r="H615" s="8">
        <v>243</v>
      </c>
    </row>
    <row r="616" spans="1:8" ht="13.5" customHeight="1">
      <c r="A616" s="9" t="s">
        <v>15</v>
      </c>
      <c r="B616" s="8">
        <v>192</v>
      </c>
      <c r="C616" s="8">
        <v>3</v>
      </c>
      <c r="D616" s="8">
        <v>77</v>
      </c>
      <c r="E616" s="8">
        <v>18</v>
      </c>
      <c r="F616" s="8">
        <v>4</v>
      </c>
      <c r="G616" s="8">
        <v>27</v>
      </c>
      <c r="H616" s="8">
        <v>63</v>
      </c>
    </row>
    <row r="617" spans="1:8" ht="13.5" customHeight="1">
      <c r="A617" s="9" t="s">
        <v>16</v>
      </c>
      <c r="B617" s="8">
        <v>293</v>
      </c>
      <c r="C617" s="8">
        <v>8</v>
      </c>
      <c r="D617" s="8">
        <v>141</v>
      </c>
      <c r="E617" s="8">
        <v>8</v>
      </c>
      <c r="F617" s="8">
        <v>8</v>
      </c>
      <c r="G617" s="8">
        <v>51</v>
      </c>
      <c r="H617" s="8">
        <v>77</v>
      </c>
    </row>
    <row r="618" spans="1:8" ht="13.5" customHeight="1">
      <c r="A618" s="9" t="s">
        <v>17</v>
      </c>
      <c r="B618" s="8">
        <v>169</v>
      </c>
      <c r="C618" s="8">
        <v>8</v>
      </c>
      <c r="D618" s="8">
        <v>88</v>
      </c>
      <c r="E618" s="8">
        <v>10</v>
      </c>
      <c r="F618" s="8">
        <v>7</v>
      </c>
      <c r="G618" s="8">
        <v>26</v>
      </c>
      <c r="H618" s="8">
        <v>30</v>
      </c>
    </row>
    <row r="619" spans="1:8" ht="13.5" customHeight="1">
      <c r="A619" s="9" t="s">
        <v>18</v>
      </c>
      <c r="B619" s="8">
        <v>277</v>
      </c>
      <c r="C619" s="8">
        <v>3</v>
      </c>
      <c r="D619" s="8">
        <v>111</v>
      </c>
      <c r="E619" s="8">
        <v>14</v>
      </c>
      <c r="F619" s="8">
        <v>13</v>
      </c>
      <c r="G619" s="8">
        <v>27</v>
      </c>
      <c r="H619" s="8">
        <v>109</v>
      </c>
    </row>
    <row r="620" spans="1:8" ht="13.5" customHeight="1">
      <c r="A620" s="9" t="s">
        <v>19</v>
      </c>
      <c r="B620" s="8">
        <v>188</v>
      </c>
      <c r="C620" s="8">
        <v>7</v>
      </c>
      <c r="D620" s="8">
        <v>88</v>
      </c>
      <c r="E620" s="8">
        <v>9</v>
      </c>
      <c r="F620" s="8">
        <v>15</v>
      </c>
      <c r="G620" s="8">
        <v>18</v>
      </c>
      <c r="H620" s="8">
        <v>51</v>
      </c>
    </row>
    <row r="621" spans="1:8" ht="13.5" customHeight="1">
      <c r="A621" s="9" t="s">
        <v>20</v>
      </c>
      <c r="B621" s="8">
        <v>361</v>
      </c>
      <c r="C621" s="8">
        <v>10</v>
      </c>
      <c r="D621" s="8">
        <v>178</v>
      </c>
      <c r="E621" s="8">
        <v>19</v>
      </c>
      <c r="F621" s="8">
        <v>26</v>
      </c>
      <c r="G621" s="8">
        <v>42</v>
      </c>
      <c r="H621" s="8">
        <v>86</v>
      </c>
    </row>
    <row r="622" spans="1:8" ht="13.5" customHeight="1">
      <c r="A622" s="37" t="s">
        <v>22</v>
      </c>
      <c r="B622" s="36"/>
      <c r="C622" s="36"/>
      <c r="D622" s="36"/>
      <c r="E622" s="36"/>
      <c r="F622" s="36"/>
      <c r="G622" s="36"/>
      <c r="H622" s="36"/>
    </row>
    <row r="623" spans="1:8" ht="13.5" customHeight="1">
      <c r="A623" s="9" t="s">
        <v>23</v>
      </c>
      <c r="B623" s="8">
        <v>127</v>
      </c>
      <c r="C623" s="8">
        <v>32</v>
      </c>
      <c r="D623" s="8">
        <v>87</v>
      </c>
      <c r="E623" s="8">
        <v>7</v>
      </c>
      <c r="F623" s="8">
        <v>1</v>
      </c>
      <c r="G623" s="8">
        <v>0</v>
      </c>
      <c r="H623" s="8">
        <v>0</v>
      </c>
    </row>
    <row r="624" spans="1:8" ht="13.5" customHeight="1">
      <c r="A624" s="9" t="s">
        <v>24</v>
      </c>
      <c r="B624" s="8">
        <v>1512</v>
      </c>
      <c r="C624" s="8">
        <v>121</v>
      </c>
      <c r="D624" s="8">
        <v>1178</v>
      </c>
      <c r="E624" s="8">
        <v>158</v>
      </c>
      <c r="F624" s="8">
        <v>39</v>
      </c>
      <c r="G624" s="8">
        <v>9</v>
      </c>
      <c r="H624" s="8">
        <v>7</v>
      </c>
    </row>
    <row r="625" spans="1:8" ht="13.5" customHeight="1">
      <c r="A625" s="9" t="s">
        <v>25</v>
      </c>
      <c r="B625" s="8">
        <v>1758</v>
      </c>
      <c r="C625" s="8">
        <v>12</v>
      </c>
      <c r="D625" s="8">
        <v>967</v>
      </c>
      <c r="E625" s="8">
        <v>267</v>
      </c>
      <c r="F625" s="8">
        <v>344</v>
      </c>
      <c r="G625" s="8">
        <v>130</v>
      </c>
      <c r="H625" s="8">
        <v>38</v>
      </c>
    </row>
    <row r="626" spans="1:8" ht="13.5" customHeight="1">
      <c r="A626" s="9" t="s">
        <v>26</v>
      </c>
      <c r="B626" s="8">
        <v>1590</v>
      </c>
      <c r="C626" s="8">
        <v>6</v>
      </c>
      <c r="D626" s="8">
        <v>231</v>
      </c>
      <c r="E626" s="8">
        <v>83</v>
      </c>
      <c r="F626" s="8">
        <v>358</v>
      </c>
      <c r="G626" s="8">
        <v>497</v>
      </c>
      <c r="H626" s="8">
        <v>415</v>
      </c>
    </row>
    <row r="627" spans="1:8" ht="13.5" customHeight="1">
      <c r="A627" s="9" t="s">
        <v>27</v>
      </c>
      <c r="B627" s="8">
        <v>1644</v>
      </c>
      <c r="C627" s="8">
        <v>17</v>
      </c>
      <c r="D627" s="8">
        <v>56</v>
      </c>
      <c r="E627" s="8">
        <v>29</v>
      </c>
      <c r="F627" s="8">
        <v>172</v>
      </c>
      <c r="G627" s="8">
        <v>400</v>
      </c>
      <c r="H627" s="8">
        <v>970</v>
      </c>
    </row>
    <row r="628" spans="1:8" ht="13.5" customHeight="1">
      <c r="A628" s="9" t="s">
        <v>28</v>
      </c>
      <c r="B628" s="8">
        <v>1036</v>
      </c>
      <c r="C628" s="8">
        <v>10</v>
      </c>
      <c r="D628" s="8">
        <v>40</v>
      </c>
      <c r="E628" s="8">
        <v>20</v>
      </c>
      <c r="F628" s="8">
        <v>76</v>
      </c>
      <c r="G628" s="8">
        <v>124</v>
      </c>
      <c r="H628" s="8">
        <v>766</v>
      </c>
    </row>
    <row r="629" spans="1:8" ht="13.5" customHeight="1">
      <c r="A629" s="9" t="s">
        <v>29</v>
      </c>
      <c r="B629" s="8">
        <v>641</v>
      </c>
      <c r="C629" s="8">
        <v>6</v>
      </c>
      <c r="D629" s="8">
        <v>29</v>
      </c>
      <c r="E629" s="8">
        <v>11</v>
      </c>
      <c r="F629" s="8">
        <v>35</v>
      </c>
      <c r="G629" s="8">
        <v>45</v>
      </c>
      <c r="H629" s="8">
        <v>515</v>
      </c>
    </row>
    <row r="630" spans="1:8" ht="13.5" customHeight="1">
      <c r="A630" s="9" t="s">
        <v>30</v>
      </c>
      <c r="B630" s="8">
        <v>465</v>
      </c>
      <c r="C630" s="8">
        <v>4</v>
      </c>
      <c r="D630" s="8">
        <v>12</v>
      </c>
      <c r="E630" s="8">
        <v>7</v>
      </c>
      <c r="F630" s="8">
        <v>12</v>
      </c>
      <c r="G630" s="8">
        <v>29</v>
      </c>
      <c r="H630" s="8">
        <v>401</v>
      </c>
    </row>
    <row r="631" spans="1:8" ht="13.5" customHeight="1">
      <c r="A631" s="37" t="s">
        <v>31</v>
      </c>
      <c r="B631" s="36"/>
      <c r="C631" s="36"/>
      <c r="D631" s="36"/>
      <c r="E631" s="36"/>
      <c r="F631" s="36"/>
      <c r="G631" s="36"/>
      <c r="H631" s="36"/>
    </row>
    <row r="632" spans="1:8" ht="13.5" customHeight="1">
      <c r="A632" s="9" t="s">
        <v>38</v>
      </c>
      <c r="B632" s="8">
        <v>8</v>
      </c>
      <c r="C632" s="8">
        <v>1</v>
      </c>
      <c r="D632" s="8">
        <v>2</v>
      </c>
      <c r="E632" s="8">
        <v>1</v>
      </c>
      <c r="F632" s="8">
        <v>1</v>
      </c>
      <c r="G632" s="8">
        <v>0</v>
      </c>
      <c r="H632" s="8">
        <v>3</v>
      </c>
    </row>
    <row r="633" spans="1:8" ht="13.5" customHeight="1">
      <c r="A633" s="9" t="s">
        <v>32</v>
      </c>
      <c r="B633" s="8">
        <v>147</v>
      </c>
      <c r="C633" s="8">
        <v>1</v>
      </c>
      <c r="D633" s="8">
        <v>81</v>
      </c>
      <c r="E633" s="8">
        <v>12</v>
      </c>
      <c r="F633" s="8">
        <v>26</v>
      </c>
      <c r="G633" s="8">
        <v>14</v>
      </c>
      <c r="H633" s="8">
        <v>13</v>
      </c>
    </row>
    <row r="634" spans="1:8" ht="13.5" customHeight="1">
      <c r="A634" s="9" t="s">
        <v>33</v>
      </c>
      <c r="B634" s="8">
        <v>192</v>
      </c>
      <c r="C634" s="8">
        <v>5</v>
      </c>
      <c r="D634" s="8">
        <v>42</v>
      </c>
      <c r="E634" s="8">
        <v>47</v>
      </c>
      <c r="F634" s="8">
        <v>44</v>
      </c>
      <c r="G634" s="8">
        <v>19</v>
      </c>
      <c r="H634" s="8">
        <v>35</v>
      </c>
    </row>
    <row r="635" spans="1:8" ht="13.5" customHeight="1">
      <c r="A635" s="9" t="s">
        <v>34</v>
      </c>
      <c r="B635" s="8">
        <v>6472</v>
      </c>
      <c r="C635" s="8">
        <v>138</v>
      </c>
      <c r="D635" s="8">
        <v>2160</v>
      </c>
      <c r="E635" s="8">
        <v>428</v>
      </c>
      <c r="F635" s="8">
        <v>768</v>
      </c>
      <c r="G635" s="8">
        <v>849</v>
      </c>
      <c r="H635" s="8">
        <v>2129</v>
      </c>
    </row>
    <row r="636" spans="1:8" ht="13.5" customHeight="1">
      <c r="A636" s="9" t="s">
        <v>35</v>
      </c>
      <c r="B636" s="8">
        <v>1067</v>
      </c>
      <c r="C636" s="8">
        <v>24</v>
      </c>
      <c r="D636" s="8">
        <v>137</v>
      </c>
      <c r="E636" s="8">
        <v>49</v>
      </c>
      <c r="F636" s="8">
        <v>87</v>
      </c>
      <c r="G636" s="8">
        <v>251</v>
      </c>
      <c r="H636" s="8">
        <v>519</v>
      </c>
    </row>
    <row r="637" spans="1:8" ht="13.5" customHeight="1">
      <c r="A637" s="9" t="s">
        <v>36</v>
      </c>
      <c r="B637" s="8">
        <v>876</v>
      </c>
      <c r="C637" s="8">
        <v>39</v>
      </c>
      <c r="D637" s="8">
        <v>169</v>
      </c>
      <c r="E637" s="8">
        <v>45</v>
      </c>
      <c r="F637" s="8">
        <v>110</v>
      </c>
      <c r="G637" s="8">
        <v>101</v>
      </c>
      <c r="H637" s="8">
        <v>412</v>
      </c>
    </row>
    <row r="638" spans="1:8" ht="13.5" customHeight="1">
      <c r="A638" s="9" t="s">
        <v>37</v>
      </c>
      <c r="B638" s="8">
        <v>11</v>
      </c>
      <c r="C638" s="8">
        <v>0</v>
      </c>
      <c r="D638" s="8">
        <v>9</v>
      </c>
      <c r="E638" s="8">
        <v>0</v>
      </c>
      <c r="F638" s="8">
        <v>1</v>
      </c>
      <c r="G638" s="8">
        <v>0</v>
      </c>
      <c r="H638" s="8">
        <v>1</v>
      </c>
    </row>
    <row r="639" spans="1:8" ht="13.5" customHeight="1">
      <c r="A639" s="9"/>
      <c r="B639" s="8"/>
      <c r="C639" s="8"/>
      <c r="D639" s="8"/>
      <c r="E639" s="8"/>
      <c r="F639" s="8"/>
      <c r="G639" s="8"/>
      <c r="H639" s="8"/>
    </row>
    <row r="640" spans="1:8" ht="13.5" customHeight="1">
      <c r="A640" s="98" t="s">
        <v>85</v>
      </c>
      <c r="B640" s="8"/>
      <c r="C640" s="8"/>
      <c r="D640" s="8"/>
      <c r="E640" s="8"/>
      <c r="F640" s="8"/>
      <c r="G640" s="8"/>
      <c r="H640" s="8"/>
    </row>
    <row r="641" spans="1:8" ht="13.5" customHeight="1">
      <c r="B641" s="19"/>
      <c r="C641" s="19"/>
      <c r="D641" s="19"/>
      <c r="E641" s="19"/>
      <c r="F641" s="19"/>
      <c r="G641" s="19"/>
      <c r="H641" s="19"/>
    </row>
    <row r="642" spans="1:8" ht="13.5" customHeight="1">
      <c r="A642" s="29" t="s">
        <v>102</v>
      </c>
    </row>
  </sheetData>
  <mergeCells count="1">
    <mergeCell ref="A358:H359"/>
  </mergeCells>
  <hyperlinks>
    <hyperlink ref="J206" location="T09.01.05!A1" display="Haut de page" xr:uid="{00000000-0004-0000-0500-000000000000}"/>
    <hyperlink ref="J246" location="T09.01.05!A1" display="Haut de page" xr:uid="{00000000-0004-0000-0500-000001000000}"/>
    <hyperlink ref="J286" location="T09.01.05!A1" display="Haut de page" xr:uid="{00000000-0004-0000-0500-000002000000}"/>
    <hyperlink ref="J326" location="T09.01.05!A1" display="Haut de page" xr:uid="{00000000-0004-0000-0500-000003000000}"/>
    <hyperlink ref="J368" location="T09.01.05!A1" display="Haut de page" xr:uid="{00000000-0004-0000-0500-000004000000}"/>
    <hyperlink ref="J415" location="T09.01.05!A1" display="Haut de page" xr:uid="{00000000-0004-0000-0500-000005000000}"/>
    <hyperlink ref="J462" location="T09.01.05!A1" display="Haut de page" xr:uid="{00000000-0004-0000-0500-000006000000}"/>
    <hyperlink ref="J509" location="T09.01.05!A1" display="Haut de page" xr:uid="{00000000-0004-0000-0500-000007000000}"/>
    <hyperlink ref="J555" location="T09.01.05!A1" display="Haut de page" xr:uid="{00000000-0004-0000-0500-000008000000}"/>
    <hyperlink ref="J602" location="T09.01.05!A1" display="Haut de page" xr:uid="{00000000-0004-0000-0500-000009000000}"/>
    <hyperlink ref="J166" location="T09.01.05!A1" display="Haut de page" xr:uid="{00000000-0004-0000-0500-00000A000000}"/>
    <hyperlink ref="J126" location="T09.01.05!A1" display="Haut de page" xr:uid="{00000000-0004-0000-0500-00000B000000}"/>
    <hyperlink ref="J86" location="T09.01.05!A1" display="Haut de page" xr:uid="{00000000-0004-0000-0500-000018000000}"/>
    <hyperlink ref="J9" location="T09.01.05_2018" display="T09.01.05_2018" xr:uid="{646BF59C-CE10-470B-882D-4C3D1B20E7F1}"/>
    <hyperlink ref="J10" location="T09.01.05_2017" display="T09.01.05_2017" xr:uid="{20CDB524-E53C-44FA-8D71-8B830895AF9A}"/>
    <hyperlink ref="J11" location="T09.01.05_2016" display="T09.01.05_2016" xr:uid="{8E53EEAD-2536-417D-9BFF-F6A0D5F72BE6}"/>
    <hyperlink ref="K5" location="T09.01.05_2016" display="T09.01.05_2016" xr:uid="{B845BD06-15E0-4A89-A530-8B43BE20F8EA}"/>
    <hyperlink ref="K6" location="T09.01.05_2015" display="T09.01.05_2015" xr:uid="{033AD252-6679-44C9-BD8B-C9CAAB140434}"/>
    <hyperlink ref="K7" location="T09.01.05_2014" display="T09.01.05_2014" xr:uid="{25C077BE-C850-41BA-95F4-3E980A04E21B}"/>
    <hyperlink ref="K8" location="T09.01.05_2013" display="T09.01.05_2013" xr:uid="{10B5EBE0-E413-4D0E-A942-2C7C031D668D}"/>
    <hyperlink ref="K9" location="T09.01.05_2012" display="T09.01.05_2012" xr:uid="{EFBFC508-5274-4B95-955B-283B5408F5FF}"/>
    <hyperlink ref="K10" location="T09.01.05_2011" display="T09.01.05_2011" xr:uid="{FF6E069F-3959-46C1-9EBC-5880D757A4A9}"/>
    <hyperlink ref="K11" location="T09.01.05_2010" display="T09.01.05_2010" xr:uid="{64CABD13-98E4-4DDA-A04F-344500979378}"/>
    <hyperlink ref="J8" location="T09.01.05_2019" display="T09.01.05_2019" xr:uid="{B52C51DC-BDDE-497F-B102-8CBB415AE416}"/>
    <hyperlink ref="J7" location="T09.01.05_2020" display="T09.01.05_2020" xr:uid="{8127D812-0C54-4EFA-918B-62F81721EBD9}"/>
    <hyperlink ref="J6" location="T09.01.05_2021" display="T09.01.05_2021" xr:uid="{7F9CED99-EA2A-4F46-8643-5720EBDF64E9}"/>
    <hyperlink ref="J45" location="T09.01.05!A1" display="Haut de page" xr:uid="{0A85C588-0271-41B6-9CFB-EAA8E8A62395}"/>
    <hyperlink ref="J5" location="T09.01.05_2022" display="T09.01.05_2022" xr:uid="{E961B132-961A-4711-A69A-88C9D3C38319}"/>
  </hyperlink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8"/>
  <sheetViews>
    <sheetView workbookViewId="0">
      <selection activeCell="J28" sqref="J28"/>
    </sheetView>
  </sheetViews>
  <sheetFormatPr baseColWidth="10" defaultRowHeight="15"/>
  <cols>
    <col min="1" max="1" width="31.6640625" customWidth="1"/>
  </cols>
  <sheetData>
    <row r="1" spans="1:15">
      <c r="A1" s="24" t="s">
        <v>211</v>
      </c>
      <c r="B1" s="94"/>
    </row>
    <row r="2" spans="1:15">
      <c r="A2" s="13" t="s">
        <v>1</v>
      </c>
      <c r="B2" s="13"/>
    </row>
    <row r="3" spans="1:15">
      <c r="A3" s="13"/>
      <c r="B3" s="13"/>
    </row>
    <row r="4" spans="1:15">
      <c r="A4" s="31"/>
      <c r="B4" s="31"/>
      <c r="C4" s="31"/>
      <c r="D4" s="31"/>
      <c r="E4" s="31"/>
      <c r="F4" s="31"/>
      <c r="G4" s="38" t="s">
        <v>146</v>
      </c>
    </row>
    <row r="5" spans="1:15">
      <c r="A5" s="31"/>
      <c r="B5" s="208" t="s">
        <v>2</v>
      </c>
      <c r="C5" s="208" t="s">
        <v>147</v>
      </c>
      <c r="D5" s="208" t="s">
        <v>148</v>
      </c>
      <c r="E5" s="208" t="s">
        <v>149</v>
      </c>
      <c r="F5" s="208" t="s">
        <v>150</v>
      </c>
      <c r="G5" s="208" t="s">
        <v>151</v>
      </c>
    </row>
    <row r="6" spans="1:15">
      <c r="A6" s="30"/>
      <c r="B6" s="208" t="s">
        <v>152</v>
      </c>
      <c r="C6" s="208" t="s">
        <v>153</v>
      </c>
      <c r="D6" s="208" t="s">
        <v>153</v>
      </c>
      <c r="E6" s="208" t="s">
        <v>153</v>
      </c>
      <c r="F6" s="208" t="s">
        <v>153</v>
      </c>
      <c r="G6" s="208" t="s">
        <v>153</v>
      </c>
    </row>
    <row r="7" spans="1:15">
      <c r="A7" s="209" t="s">
        <v>2</v>
      </c>
      <c r="B7" s="210">
        <v>9096</v>
      </c>
      <c r="C7" s="211">
        <v>36</v>
      </c>
      <c r="D7" s="211">
        <v>43.4</v>
      </c>
      <c r="E7" s="211">
        <v>9</v>
      </c>
      <c r="F7" s="211">
        <v>10.9</v>
      </c>
      <c r="G7" s="211">
        <v>0.7</v>
      </c>
    </row>
    <row r="8" spans="1:15">
      <c r="A8" s="212" t="s">
        <v>6</v>
      </c>
      <c r="B8" s="213">
        <v>2192</v>
      </c>
      <c r="C8" s="214">
        <v>60.492700729927009</v>
      </c>
      <c r="D8" s="214">
        <v>7.0711678832116789</v>
      </c>
      <c r="E8" s="214">
        <v>14.416058394160583</v>
      </c>
      <c r="F8" s="214">
        <v>17.472627737226276</v>
      </c>
      <c r="G8" s="214">
        <v>0.54744525547445255</v>
      </c>
    </row>
    <row r="9" spans="1:15">
      <c r="A9" s="212" t="s">
        <v>7</v>
      </c>
      <c r="B9" s="213">
        <v>4261</v>
      </c>
      <c r="C9" s="214">
        <v>31.917390283970899</v>
      </c>
      <c r="D9" s="214">
        <v>49.143393569584603</v>
      </c>
      <c r="E9" s="214">
        <v>7.6273175310959864</v>
      </c>
      <c r="F9" s="214">
        <v>10.701713212860831</v>
      </c>
      <c r="G9" s="214">
        <v>0.61018540248767894</v>
      </c>
    </row>
    <row r="10" spans="1:15">
      <c r="A10" s="212" t="s">
        <v>8</v>
      </c>
      <c r="B10" s="213">
        <v>2243</v>
      </c>
      <c r="C10" s="214">
        <v>24.966562639322337</v>
      </c>
      <c r="D10" s="214">
        <v>59.875167186803388</v>
      </c>
      <c r="E10" s="214">
        <v>7.8020508247882301</v>
      </c>
      <c r="F10" s="214">
        <v>6.3308069549710213</v>
      </c>
      <c r="G10" s="214">
        <v>1.0254123941150244</v>
      </c>
    </row>
    <row r="11" spans="1:15">
      <c r="A11" s="215" t="s">
        <v>154</v>
      </c>
      <c r="B11" s="213">
        <v>400</v>
      </c>
      <c r="C11" s="214">
        <v>8</v>
      </c>
      <c r="D11" s="214">
        <v>88.25</v>
      </c>
      <c r="E11" s="214">
        <v>1.7500000000000002</v>
      </c>
      <c r="F11" s="214">
        <v>1.5</v>
      </c>
      <c r="G11" s="214">
        <v>0.5</v>
      </c>
    </row>
    <row r="12" spans="1:15">
      <c r="K12" s="233"/>
      <c r="L12" s="233"/>
      <c r="M12" s="233"/>
      <c r="N12" s="233"/>
      <c r="O12" s="233"/>
    </row>
    <row r="13" spans="1:15">
      <c r="A13" s="216" t="s">
        <v>160</v>
      </c>
    </row>
    <row r="14" spans="1:15">
      <c r="A14" s="216" t="s">
        <v>155</v>
      </c>
    </row>
    <row r="15" spans="1:15">
      <c r="A15" s="216" t="s">
        <v>161</v>
      </c>
    </row>
    <row r="16" spans="1:15">
      <c r="A16" s="216" t="s">
        <v>156</v>
      </c>
    </row>
    <row r="17" spans="1:7">
      <c r="A17" s="216" t="s">
        <v>162</v>
      </c>
    </row>
    <row r="18" spans="1:7">
      <c r="A18" s="9" t="s">
        <v>157</v>
      </c>
      <c r="B18" s="161"/>
      <c r="C18" s="161"/>
      <c r="D18" s="161"/>
      <c r="E18" s="161"/>
      <c r="F18" s="161"/>
      <c r="G18" s="8"/>
    </row>
    <row r="20" spans="1:7">
      <c r="A20" s="26" t="s">
        <v>113</v>
      </c>
    </row>
    <row r="23" spans="1:7">
      <c r="A23" s="24" t="s">
        <v>188</v>
      </c>
      <c r="B23" s="94"/>
    </row>
    <row r="24" spans="1:7">
      <c r="A24" s="13" t="s">
        <v>1</v>
      </c>
      <c r="B24" s="13"/>
    </row>
    <row r="25" spans="1:7">
      <c r="A25" s="13"/>
      <c r="B25" s="13"/>
    </row>
    <row r="26" spans="1:7">
      <c r="A26" s="31"/>
      <c r="B26" s="31"/>
      <c r="C26" s="31"/>
      <c r="D26" s="31"/>
      <c r="E26" s="31"/>
      <c r="F26" s="31"/>
      <c r="G26" s="38" t="s">
        <v>146</v>
      </c>
    </row>
    <row r="27" spans="1:7">
      <c r="A27" s="31"/>
      <c r="B27" s="208" t="s">
        <v>2</v>
      </c>
      <c r="C27" s="208" t="s">
        <v>147</v>
      </c>
      <c r="D27" s="208" t="s">
        <v>148</v>
      </c>
      <c r="E27" s="208" t="s">
        <v>149</v>
      </c>
      <c r="F27" s="208" t="s">
        <v>150</v>
      </c>
      <c r="G27" s="208" t="s">
        <v>151</v>
      </c>
    </row>
    <row r="28" spans="1:7">
      <c r="A28" s="30"/>
      <c r="B28" s="208" t="s">
        <v>152</v>
      </c>
      <c r="C28" s="208" t="s">
        <v>153</v>
      </c>
      <c r="D28" s="208" t="s">
        <v>153</v>
      </c>
      <c r="E28" s="208" t="s">
        <v>153</v>
      </c>
      <c r="F28" s="208" t="s">
        <v>153</v>
      </c>
      <c r="G28" s="208" t="s">
        <v>153</v>
      </c>
    </row>
    <row r="29" spans="1:7">
      <c r="A29" s="209" t="s">
        <v>2</v>
      </c>
      <c r="B29" s="210">
        <f>SUM(B30:B33)</f>
        <v>9079</v>
      </c>
      <c r="C29" s="211">
        <v>35.9</v>
      </c>
      <c r="D29" s="211">
        <v>43.6</v>
      </c>
      <c r="E29" s="211">
        <v>8.9</v>
      </c>
      <c r="F29" s="211">
        <v>10.3</v>
      </c>
      <c r="G29" s="211">
        <v>1.3</v>
      </c>
    </row>
    <row r="30" spans="1:7">
      <c r="A30" s="212" t="s">
        <v>6</v>
      </c>
      <c r="B30" s="213">
        <v>2191</v>
      </c>
      <c r="C30" s="214">
        <v>59.561843906891831</v>
      </c>
      <c r="D30" s="214">
        <v>9.2651757188498394</v>
      </c>
      <c r="E30" s="214">
        <v>13.60109539023277</v>
      </c>
      <c r="F30" s="214">
        <v>16.202647193062528</v>
      </c>
      <c r="G30" s="214">
        <v>1.3692377909630304</v>
      </c>
    </row>
    <row r="31" spans="1:7">
      <c r="A31" s="212" t="s">
        <v>7</v>
      </c>
      <c r="B31" s="213">
        <v>4240</v>
      </c>
      <c r="C31" s="214">
        <v>31.863207547169814</v>
      </c>
      <c r="D31" s="214">
        <v>49.033018867924525</v>
      </c>
      <c r="E31" s="214">
        <v>7.7594339622641506</v>
      </c>
      <c r="F31" s="214">
        <v>10.212264150943398</v>
      </c>
      <c r="G31" s="214">
        <v>1.1320754716981132</v>
      </c>
    </row>
    <row r="32" spans="1:7">
      <c r="A32" s="212" t="s">
        <v>8</v>
      </c>
      <c r="B32" s="213">
        <v>2246</v>
      </c>
      <c r="C32" s="214">
        <v>25.645592163846835</v>
      </c>
      <c r="D32" s="214">
        <v>59.127337488869102</v>
      </c>
      <c r="E32" s="214">
        <v>7.92520035618878</v>
      </c>
      <c r="F32" s="214">
        <v>6.0552092609082813</v>
      </c>
      <c r="G32" s="214">
        <v>1.2466607301869992</v>
      </c>
    </row>
    <row r="33" spans="1:7">
      <c r="A33" s="215" t="s">
        <v>154</v>
      </c>
      <c r="B33" s="213">
        <v>402</v>
      </c>
      <c r="C33" s="214">
        <v>6.9651741293532341</v>
      </c>
      <c r="D33" s="214">
        <v>87.31343283582089</v>
      </c>
      <c r="E33" s="214">
        <v>1.7412935323383085</v>
      </c>
      <c r="F33" s="214">
        <v>1.7412935323383085</v>
      </c>
      <c r="G33" s="214">
        <v>2.2388059701492535</v>
      </c>
    </row>
    <row r="35" spans="1:7">
      <c r="A35" s="216" t="s">
        <v>160</v>
      </c>
    </row>
    <row r="36" spans="1:7">
      <c r="A36" s="216" t="s">
        <v>155</v>
      </c>
    </row>
    <row r="37" spans="1:7">
      <c r="A37" s="216" t="s">
        <v>161</v>
      </c>
    </row>
    <row r="38" spans="1:7">
      <c r="A38" s="216" t="s">
        <v>156</v>
      </c>
    </row>
    <row r="39" spans="1:7">
      <c r="A39" s="216" t="s">
        <v>162</v>
      </c>
    </row>
    <row r="40" spans="1:7">
      <c r="A40" s="9" t="s">
        <v>157</v>
      </c>
      <c r="B40" s="161"/>
      <c r="C40" s="161"/>
      <c r="D40" s="161"/>
      <c r="E40" s="161"/>
      <c r="F40" s="161"/>
      <c r="G40" s="8"/>
    </row>
    <row r="42" spans="1:7">
      <c r="A42" s="26" t="s">
        <v>113</v>
      </c>
    </row>
    <row r="45" spans="1:7">
      <c r="A45" s="24" t="s">
        <v>185</v>
      </c>
      <c r="B45" s="94"/>
    </row>
    <row r="46" spans="1:7">
      <c r="A46" s="13" t="s">
        <v>1</v>
      </c>
      <c r="B46" s="13"/>
    </row>
    <row r="47" spans="1:7">
      <c r="A47" s="13"/>
      <c r="B47" s="13"/>
    </row>
    <row r="48" spans="1:7">
      <c r="A48" s="31"/>
      <c r="B48" s="31"/>
      <c r="C48" s="31"/>
      <c r="D48" s="31"/>
      <c r="E48" s="31"/>
      <c r="F48" s="31"/>
      <c r="G48" s="38" t="s">
        <v>146</v>
      </c>
    </row>
    <row r="49" spans="1:7">
      <c r="A49" s="31"/>
      <c r="B49" s="208" t="s">
        <v>2</v>
      </c>
      <c r="C49" s="208" t="s">
        <v>147</v>
      </c>
      <c r="D49" s="208" t="s">
        <v>148</v>
      </c>
      <c r="E49" s="208" t="s">
        <v>149</v>
      </c>
      <c r="F49" s="208" t="s">
        <v>150</v>
      </c>
      <c r="G49" s="208" t="s">
        <v>151</v>
      </c>
    </row>
    <row r="50" spans="1:7">
      <c r="A50" s="30"/>
      <c r="B50" s="208" t="s">
        <v>152</v>
      </c>
      <c r="C50" s="208" t="s">
        <v>153</v>
      </c>
      <c r="D50" s="208" t="s">
        <v>153</v>
      </c>
      <c r="E50" s="208" t="s">
        <v>153</v>
      </c>
      <c r="F50" s="208" t="s">
        <v>153</v>
      </c>
      <c r="G50" s="208" t="s">
        <v>153</v>
      </c>
    </row>
    <row r="51" spans="1:7">
      <c r="A51" s="209" t="s">
        <v>2</v>
      </c>
      <c r="B51" s="210">
        <v>9069</v>
      </c>
      <c r="C51" s="211">
        <v>36.332561473150292</v>
      </c>
      <c r="D51" s="211">
        <v>43.543940897563125</v>
      </c>
      <c r="E51" s="211">
        <v>9.0528172896681003</v>
      </c>
      <c r="F51" s="211">
        <v>10.188554416142905</v>
      </c>
      <c r="G51" s="211">
        <v>0.88212592347557617</v>
      </c>
    </row>
    <row r="52" spans="1:7">
      <c r="A52" s="212" t="s">
        <v>6</v>
      </c>
      <c r="B52" s="213">
        <v>2194</v>
      </c>
      <c r="C52" s="214">
        <v>59.571558796718328</v>
      </c>
      <c r="D52" s="214">
        <v>9.115770282588878</v>
      </c>
      <c r="E52" s="214">
        <v>13.764813126709207</v>
      </c>
      <c r="F52" s="214">
        <v>16.226071103008206</v>
      </c>
      <c r="G52" s="214">
        <v>1.3217866909753875</v>
      </c>
    </row>
    <row r="53" spans="1:7">
      <c r="A53" s="212" t="s">
        <v>7</v>
      </c>
      <c r="B53" s="213">
        <v>4219</v>
      </c>
      <c r="C53" s="214">
        <v>32.732875088883624</v>
      </c>
      <c r="D53" s="214">
        <v>48.731926996918702</v>
      </c>
      <c r="E53" s="214">
        <v>7.6795449158568383</v>
      </c>
      <c r="F53" s="214">
        <v>9.9786679307892872</v>
      </c>
      <c r="G53" s="214">
        <v>0.87698506755155248</v>
      </c>
    </row>
    <row r="54" spans="1:7">
      <c r="A54" s="212" t="s">
        <v>8</v>
      </c>
      <c r="B54" s="213">
        <v>2250</v>
      </c>
      <c r="C54" s="214">
        <v>25.733333333333334</v>
      </c>
      <c r="D54" s="214">
        <v>59.199999999999996</v>
      </c>
      <c r="E54" s="214">
        <v>8.31111111111111</v>
      </c>
      <c r="F54" s="214">
        <v>6.2222222222222223</v>
      </c>
      <c r="G54" s="214">
        <v>0.53333333333333333</v>
      </c>
    </row>
    <row r="55" spans="1:7">
      <c r="A55" s="215" t="s">
        <v>154</v>
      </c>
      <c r="B55" s="213">
        <v>406</v>
      </c>
      <c r="C55" s="214">
        <v>6.8965517241379306</v>
      </c>
      <c r="D55" s="214">
        <v>88.916256157635459</v>
      </c>
      <c r="E55" s="214">
        <v>1.9704433497536946</v>
      </c>
      <c r="F55" s="214">
        <v>1.7241379310344827</v>
      </c>
      <c r="G55" s="214">
        <v>0.49261083743842365</v>
      </c>
    </row>
    <row r="57" spans="1:7">
      <c r="A57" s="216" t="s">
        <v>160</v>
      </c>
    </row>
    <row r="58" spans="1:7">
      <c r="A58" s="216" t="s">
        <v>155</v>
      </c>
    </row>
    <row r="59" spans="1:7">
      <c r="A59" s="216" t="s">
        <v>161</v>
      </c>
    </row>
    <row r="60" spans="1:7">
      <c r="A60" s="216" t="s">
        <v>156</v>
      </c>
    </row>
    <row r="61" spans="1:7">
      <c r="A61" s="216" t="s">
        <v>162</v>
      </c>
    </row>
    <row r="62" spans="1:7">
      <c r="A62" s="9" t="s">
        <v>157</v>
      </c>
      <c r="B62" s="161"/>
      <c r="C62" s="161"/>
      <c r="D62" s="161"/>
      <c r="E62" s="161"/>
      <c r="F62" s="161"/>
      <c r="G62" s="8"/>
    </row>
    <row r="64" spans="1:7">
      <c r="A64" s="26" t="s">
        <v>113</v>
      </c>
    </row>
    <row r="67" spans="1:7">
      <c r="A67" s="24" t="s">
        <v>163</v>
      </c>
      <c r="B67" s="94"/>
    </row>
    <row r="68" spans="1:7">
      <c r="A68" s="13" t="s">
        <v>1</v>
      </c>
      <c r="B68" s="13"/>
    </row>
    <row r="69" spans="1:7">
      <c r="A69" s="13"/>
      <c r="B69" s="13"/>
    </row>
    <row r="70" spans="1:7">
      <c r="A70" s="31"/>
      <c r="B70" s="31"/>
      <c r="C70" s="31"/>
      <c r="D70" s="31"/>
      <c r="E70" s="31"/>
      <c r="F70" s="31"/>
      <c r="G70" s="38" t="s">
        <v>146</v>
      </c>
    </row>
    <row r="71" spans="1:7">
      <c r="A71" s="31"/>
      <c r="B71" s="208" t="s">
        <v>2</v>
      </c>
      <c r="C71" s="208" t="s">
        <v>147</v>
      </c>
      <c r="D71" s="208" t="s">
        <v>148</v>
      </c>
      <c r="E71" s="208" t="s">
        <v>149</v>
      </c>
      <c r="F71" s="208" t="s">
        <v>150</v>
      </c>
      <c r="G71" s="208" t="s">
        <v>151</v>
      </c>
    </row>
    <row r="72" spans="1:7">
      <c r="A72" s="30"/>
      <c r="B72" s="208" t="s">
        <v>152</v>
      </c>
      <c r="C72" s="208" t="s">
        <v>153</v>
      </c>
      <c r="D72" s="208" t="s">
        <v>153</v>
      </c>
      <c r="E72" s="208" t="s">
        <v>153</v>
      </c>
      <c r="F72" s="208" t="s">
        <v>153</v>
      </c>
      <c r="G72" s="208" t="s">
        <v>153</v>
      </c>
    </row>
    <row r="73" spans="1:7">
      <c r="A73" s="209" t="s">
        <v>2</v>
      </c>
      <c r="B73" s="210">
        <v>9052</v>
      </c>
      <c r="C73" s="211">
        <v>37</v>
      </c>
      <c r="D73" s="211">
        <v>43.2</v>
      </c>
      <c r="E73" s="211">
        <v>9.1999999999999993</v>
      </c>
      <c r="F73" s="211">
        <v>10.199999999999999</v>
      </c>
      <c r="G73" s="211">
        <v>0.4</v>
      </c>
    </row>
    <row r="74" spans="1:7">
      <c r="A74" s="212" t="s">
        <v>6</v>
      </c>
      <c r="B74" s="213">
        <v>2177</v>
      </c>
      <c r="C74" s="214">
        <v>60.7</v>
      </c>
      <c r="D74" s="214">
        <v>9</v>
      </c>
      <c r="E74" s="214">
        <v>13.8</v>
      </c>
      <c r="F74" s="214">
        <v>16.100000000000001</v>
      </c>
      <c r="G74" s="214">
        <v>0.4</v>
      </c>
    </row>
    <row r="75" spans="1:7">
      <c r="A75" s="212" t="s">
        <v>7</v>
      </c>
      <c r="B75" s="213">
        <v>4184</v>
      </c>
      <c r="C75" s="214">
        <v>33.299999999999997</v>
      </c>
      <c r="D75" s="214">
        <v>48.4</v>
      </c>
      <c r="E75" s="214">
        <v>7.8</v>
      </c>
      <c r="F75" s="214">
        <v>10</v>
      </c>
      <c r="G75" s="214">
        <v>0.4</v>
      </c>
    </row>
    <row r="76" spans="1:7">
      <c r="A76" s="212" t="s">
        <v>8</v>
      </c>
      <c r="B76" s="213">
        <v>2181</v>
      </c>
      <c r="C76" s="214">
        <v>26.3</v>
      </c>
      <c r="D76" s="214">
        <v>58.6</v>
      </c>
      <c r="E76" s="214">
        <v>8.3000000000000007</v>
      </c>
      <c r="F76" s="214">
        <v>6.6</v>
      </c>
      <c r="G76" s="214">
        <v>0.2</v>
      </c>
    </row>
    <row r="77" spans="1:7">
      <c r="A77" s="215" t="s">
        <v>154</v>
      </c>
      <c r="B77" s="213">
        <v>510</v>
      </c>
      <c r="C77" s="214">
        <v>11.8</v>
      </c>
      <c r="D77" s="214">
        <v>80.599999999999994</v>
      </c>
      <c r="E77" s="214">
        <v>4.5</v>
      </c>
      <c r="F77" s="214">
        <v>2.5</v>
      </c>
      <c r="G77" s="214">
        <v>0.6</v>
      </c>
    </row>
    <row r="79" spans="1:7">
      <c r="A79" s="216" t="s">
        <v>160</v>
      </c>
    </row>
    <row r="80" spans="1:7">
      <c r="A80" s="216" t="s">
        <v>155</v>
      </c>
    </row>
    <row r="81" spans="1:7">
      <c r="A81" s="216" t="s">
        <v>161</v>
      </c>
    </row>
    <row r="82" spans="1:7">
      <c r="A82" s="216" t="s">
        <v>156</v>
      </c>
    </row>
    <row r="83" spans="1:7">
      <c r="A83" s="216" t="s">
        <v>162</v>
      </c>
    </row>
    <row r="84" spans="1:7">
      <c r="A84" s="9" t="s">
        <v>157</v>
      </c>
      <c r="B84" s="161"/>
      <c r="C84" s="161"/>
      <c r="D84" s="161"/>
      <c r="E84" s="161"/>
      <c r="F84" s="161"/>
      <c r="G84" s="8"/>
    </row>
    <row r="86" spans="1:7">
      <c r="A86" s="26" t="s">
        <v>113</v>
      </c>
    </row>
    <row r="89" spans="1:7">
      <c r="A89" s="24" t="s">
        <v>164</v>
      </c>
      <c r="B89" s="94"/>
    </row>
    <row r="90" spans="1:7">
      <c r="A90" s="13" t="s">
        <v>1</v>
      </c>
      <c r="B90" s="13"/>
    </row>
    <row r="91" spans="1:7">
      <c r="A91" s="13"/>
      <c r="B91" s="13"/>
    </row>
    <row r="92" spans="1:7">
      <c r="A92" s="31"/>
      <c r="B92" s="31"/>
      <c r="C92" s="31"/>
      <c r="D92" s="31"/>
      <c r="E92" s="31"/>
      <c r="F92" s="31"/>
      <c r="G92" s="38" t="s">
        <v>146</v>
      </c>
    </row>
    <row r="93" spans="1:7">
      <c r="A93" s="31"/>
      <c r="B93" s="208" t="s">
        <v>2</v>
      </c>
      <c r="C93" s="208" t="s">
        <v>147</v>
      </c>
      <c r="D93" s="208" t="s">
        <v>148</v>
      </c>
      <c r="E93" s="208" t="s">
        <v>149</v>
      </c>
      <c r="F93" s="208" t="s">
        <v>150</v>
      </c>
      <c r="G93" s="208" t="s">
        <v>151</v>
      </c>
    </row>
    <row r="94" spans="1:7">
      <c r="A94" s="30"/>
      <c r="B94" s="208" t="s">
        <v>152</v>
      </c>
      <c r="C94" s="208" t="s">
        <v>153</v>
      </c>
      <c r="D94" s="208" t="s">
        <v>153</v>
      </c>
      <c r="E94" s="208" t="s">
        <v>153</v>
      </c>
      <c r="F94" s="208" t="s">
        <v>153</v>
      </c>
      <c r="G94" s="208" t="s">
        <v>153</v>
      </c>
    </row>
    <row r="95" spans="1:7">
      <c r="A95" s="209" t="s">
        <v>2</v>
      </c>
      <c r="B95" s="210">
        <f>SUM(B96:B99)</f>
        <v>9021</v>
      </c>
      <c r="C95" s="211">
        <v>38.200000000000003</v>
      </c>
      <c r="D95" s="211">
        <v>42.1</v>
      </c>
      <c r="E95" s="211">
        <v>9.1999999999999993</v>
      </c>
      <c r="F95" s="211">
        <v>10.3</v>
      </c>
      <c r="G95" s="211">
        <v>0.1</v>
      </c>
    </row>
    <row r="96" spans="1:7">
      <c r="A96" s="212" t="s">
        <v>6</v>
      </c>
      <c r="B96" s="213">
        <v>2173</v>
      </c>
      <c r="C96" s="214">
        <v>62.6</v>
      </c>
      <c r="D96" s="214">
        <v>6.6</v>
      </c>
      <c r="E96" s="214">
        <v>14.4</v>
      </c>
      <c r="F96" s="214">
        <v>16.3</v>
      </c>
      <c r="G96" s="214">
        <v>0</v>
      </c>
    </row>
    <row r="97" spans="1:7">
      <c r="A97" s="212" t="s">
        <v>7</v>
      </c>
      <c r="B97" s="213">
        <v>4159</v>
      </c>
      <c r="C97" s="214">
        <v>34.299999999999997</v>
      </c>
      <c r="D97" s="214">
        <v>47.8</v>
      </c>
      <c r="E97" s="214">
        <v>7.7</v>
      </c>
      <c r="F97" s="214">
        <v>10.1</v>
      </c>
      <c r="G97" s="214">
        <v>0.1</v>
      </c>
    </row>
    <row r="98" spans="1:7">
      <c r="A98" s="212" t="s">
        <v>8</v>
      </c>
      <c r="B98" s="213">
        <v>2164</v>
      </c>
      <c r="C98" s="214">
        <v>27.2</v>
      </c>
      <c r="D98" s="214">
        <v>57.9</v>
      </c>
      <c r="E98" s="214">
        <v>8.1</v>
      </c>
      <c r="F98" s="214">
        <v>6.6</v>
      </c>
      <c r="G98" s="214">
        <v>0.2</v>
      </c>
    </row>
    <row r="99" spans="1:7">
      <c r="A99" s="215" t="s">
        <v>154</v>
      </c>
      <c r="B99" s="213">
        <v>525</v>
      </c>
      <c r="C99" s="214">
        <v>13.1</v>
      </c>
      <c r="D99" s="214">
        <v>79.400000000000006</v>
      </c>
      <c r="E99" s="214">
        <v>4.8</v>
      </c>
      <c r="F99" s="214">
        <v>2.7</v>
      </c>
      <c r="G99" s="214">
        <v>0</v>
      </c>
    </row>
    <row r="101" spans="1:7">
      <c r="A101" s="216" t="s">
        <v>160</v>
      </c>
    </row>
    <row r="102" spans="1:7">
      <c r="A102" s="216" t="s">
        <v>155</v>
      </c>
    </row>
    <row r="103" spans="1:7">
      <c r="A103" s="216" t="s">
        <v>161</v>
      </c>
    </row>
    <row r="104" spans="1:7">
      <c r="A104" s="216" t="s">
        <v>156</v>
      </c>
    </row>
    <row r="105" spans="1:7">
      <c r="A105" s="216" t="s">
        <v>162</v>
      </c>
    </row>
    <row r="106" spans="1:7">
      <c r="A106" s="9" t="s">
        <v>157</v>
      </c>
      <c r="B106" s="161"/>
      <c r="C106" s="161"/>
      <c r="D106" s="161"/>
      <c r="E106" s="161"/>
      <c r="F106" s="161"/>
      <c r="G106" s="8"/>
    </row>
    <row r="108" spans="1:7">
      <c r="A108" s="26" t="s">
        <v>113</v>
      </c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8"/>
  <sheetViews>
    <sheetView workbookViewId="0">
      <selection activeCell="B19" sqref="B19"/>
    </sheetView>
  </sheetViews>
  <sheetFormatPr baseColWidth="10" defaultRowHeight="15"/>
  <cols>
    <col min="1" max="1" width="31.33203125" customWidth="1"/>
    <col min="2" max="3" width="11.5"/>
  </cols>
  <sheetData>
    <row r="1" spans="1:3">
      <c r="A1" s="162" t="s">
        <v>212</v>
      </c>
    </row>
    <row r="3" spans="1:3">
      <c r="A3" s="221"/>
      <c r="B3" s="222" t="s">
        <v>167</v>
      </c>
      <c r="C3" s="222" t="s">
        <v>176</v>
      </c>
    </row>
    <row r="4" spans="1:3">
      <c r="A4" s="223" t="s">
        <v>2</v>
      </c>
      <c r="B4" s="224">
        <v>82321</v>
      </c>
      <c r="C4" s="224">
        <v>9096</v>
      </c>
    </row>
    <row r="5" spans="1:3">
      <c r="A5" s="225" t="s">
        <v>168</v>
      </c>
      <c r="B5" s="226"/>
      <c r="C5" s="226"/>
    </row>
    <row r="6" spans="1:3">
      <c r="A6" s="216" t="s">
        <v>169</v>
      </c>
      <c r="B6" s="227">
        <v>3369</v>
      </c>
      <c r="C6" s="227">
        <v>600</v>
      </c>
    </row>
    <row r="7" spans="1:3">
      <c r="A7" s="216" t="s">
        <v>170</v>
      </c>
      <c r="B7" s="227">
        <v>28710</v>
      </c>
      <c r="C7" s="227">
        <v>3710</v>
      </c>
    </row>
    <row r="8" spans="1:3">
      <c r="A8" s="216" t="s">
        <v>171</v>
      </c>
      <c r="B8" s="227">
        <v>27347</v>
      </c>
      <c r="C8" s="227">
        <v>2798</v>
      </c>
    </row>
    <row r="9" spans="1:3">
      <c r="A9" s="228" t="s">
        <v>172</v>
      </c>
      <c r="B9" s="227">
        <v>939</v>
      </c>
      <c r="C9" s="227">
        <v>165</v>
      </c>
    </row>
    <row r="10" spans="1:3">
      <c r="A10" s="228" t="s">
        <v>173</v>
      </c>
      <c r="B10" s="227">
        <v>378</v>
      </c>
      <c r="C10" s="227">
        <v>135</v>
      </c>
    </row>
    <row r="11" spans="1:3">
      <c r="A11" s="216" t="s">
        <v>174</v>
      </c>
      <c r="B11" s="227">
        <v>80</v>
      </c>
      <c r="C11" s="227">
        <v>16</v>
      </c>
    </row>
    <row r="12" spans="1:3">
      <c r="A12" s="229" t="s">
        <v>179</v>
      </c>
      <c r="B12" s="227">
        <v>21498</v>
      </c>
      <c r="C12" s="227">
        <v>1672</v>
      </c>
    </row>
    <row r="13" spans="1:3">
      <c r="A13" s="216" t="s">
        <v>191</v>
      </c>
      <c r="B13" s="227">
        <v>0</v>
      </c>
      <c r="C13" s="227">
        <v>0</v>
      </c>
    </row>
    <row r="14" spans="1:3">
      <c r="A14" s="225" t="s">
        <v>175</v>
      </c>
      <c r="B14" s="226"/>
      <c r="C14" s="226"/>
    </row>
    <row r="15" spans="1:3">
      <c r="A15" s="216" t="s">
        <v>169</v>
      </c>
      <c r="B15" s="227">
        <v>2234</v>
      </c>
      <c r="C15" s="227">
        <v>397</v>
      </c>
    </row>
    <row r="16" spans="1:3">
      <c r="A16" s="216" t="s">
        <v>170</v>
      </c>
      <c r="B16" s="227">
        <v>24855</v>
      </c>
      <c r="C16" s="227">
        <v>3085</v>
      </c>
    </row>
    <row r="17" spans="1:3">
      <c r="A17" s="216" t="s">
        <v>171</v>
      </c>
      <c r="B17" s="227">
        <v>27863</v>
      </c>
      <c r="C17" s="227">
        <v>2713</v>
      </c>
    </row>
    <row r="18" spans="1:3">
      <c r="A18" s="228" t="s">
        <v>172</v>
      </c>
      <c r="B18" s="227">
        <v>705</v>
      </c>
      <c r="C18" s="227">
        <v>112</v>
      </c>
    </row>
    <row r="19" spans="1:3">
      <c r="A19" s="228" t="s">
        <v>173</v>
      </c>
      <c r="B19" s="227">
        <v>1409</v>
      </c>
      <c r="C19" s="227">
        <v>405</v>
      </c>
    </row>
    <row r="20" spans="1:3">
      <c r="A20" s="216" t="s">
        <v>174</v>
      </c>
      <c r="B20" s="227">
        <v>2465</v>
      </c>
      <c r="C20" s="227">
        <v>412</v>
      </c>
    </row>
    <row r="21" spans="1:3">
      <c r="A21" s="229" t="s">
        <v>179</v>
      </c>
      <c r="B21" s="227">
        <v>21508</v>
      </c>
      <c r="C21" s="227">
        <v>1663</v>
      </c>
    </row>
    <row r="22" spans="1:3">
      <c r="A22" s="216" t="s">
        <v>191</v>
      </c>
      <c r="B22" s="227">
        <v>1282</v>
      </c>
      <c r="C22" s="227">
        <v>309</v>
      </c>
    </row>
    <row r="24" spans="1:3">
      <c r="A24" s="230" t="s">
        <v>180</v>
      </c>
    </row>
    <row r="25" spans="1:3">
      <c r="A25" s="231" t="s">
        <v>178</v>
      </c>
    </row>
    <row r="26" spans="1:3">
      <c r="A26" s="231" t="s">
        <v>181</v>
      </c>
    </row>
    <row r="27" spans="1:3">
      <c r="A27" s="231"/>
    </row>
    <row r="28" spans="1:3">
      <c r="A28" s="46" t="s">
        <v>113</v>
      </c>
    </row>
    <row r="31" spans="1:3">
      <c r="A31" s="162" t="s">
        <v>189</v>
      </c>
    </row>
    <row r="33" spans="1:3">
      <c r="A33" s="221"/>
      <c r="B33" s="222" t="s">
        <v>167</v>
      </c>
      <c r="C33" s="222" t="s">
        <v>176</v>
      </c>
    </row>
    <row r="34" spans="1:3">
      <c r="A34" s="223" t="s">
        <v>2</v>
      </c>
      <c r="B34" s="224">
        <v>81645</v>
      </c>
      <c r="C34" s="224">
        <v>9079</v>
      </c>
    </row>
    <row r="35" spans="1:3">
      <c r="A35" s="225" t="s">
        <v>168</v>
      </c>
      <c r="B35" s="226"/>
      <c r="C35" s="226"/>
    </row>
    <row r="36" spans="1:3">
      <c r="A36" s="216" t="s">
        <v>169</v>
      </c>
      <c r="B36" s="227">
        <v>2275</v>
      </c>
      <c r="C36" s="227">
        <v>462</v>
      </c>
    </row>
    <row r="37" spans="1:3">
      <c r="A37" s="216" t="s">
        <v>170</v>
      </c>
      <c r="B37" s="227">
        <v>27219</v>
      </c>
      <c r="C37" s="227">
        <v>3511</v>
      </c>
    </row>
    <row r="38" spans="1:3">
      <c r="A38" s="216" t="s">
        <v>171</v>
      </c>
      <c r="B38" s="227">
        <v>32821</v>
      </c>
      <c r="C38" s="227">
        <v>3361</v>
      </c>
    </row>
    <row r="39" spans="1:3">
      <c r="A39" s="228" t="s">
        <v>172</v>
      </c>
      <c r="B39" s="227">
        <v>874</v>
      </c>
      <c r="C39" s="227">
        <v>159</v>
      </c>
    </row>
    <row r="40" spans="1:3">
      <c r="A40" s="228" t="s">
        <v>173</v>
      </c>
      <c r="B40" s="227">
        <v>462</v>
      </c>
      <c r="C40" s="227">
        <v>158</v>
      </c>
    </row>
    <row r="41" spans="1:3">
      <c r="A41" s="216" t="s">
        <v>174</v>
      </c>
      <c r="B41" s="227">
        <v>154</v>
      </c>
      <c r="C41" s="227">
        <v>21</v>
      </c>
    </row>
    <row r="42" spans="1:3">
      <c r="A42" s="229" t="s">
        <v>179</v>
      </c>
      <c r="B42" s="227">
        <v>17839</v>
      </c>
      <c r="C42" s="227">
        <f>+C34-C43-C36-C37-C38-C39-C40-C41</f>
        <v>1406</v>
      </c>
    </row>
    <row r="43" spans="1:3">
      <c r="A43" s="216" t="s">
        <v>191</v>
      </c>
      <c r="B43" s="227">
        <v>1</v>
      </c>
      <c r="C43" s="227">
        <v>1</v>
      </c>
    </row>
    <row r="44" spans="1:3">
      <c r="A44" s="225" t="s">
        <v>175</v>
      </c>
      <c r="B44" s="226"/>
      <c r="C44" s="226"/>
    </row>
    <row r="45" spans="1:3">
      <c r="A45" s="216" t="s">
        <v>169</v>
      </c>
      <c r="B45" s="227">
        <v>1698</v>
      </c>
      <c r="C45" s="227">
        <v>312</v>
      </c>
    </row>
    <row r="46" spans="1:3">
      <c r="A46" s="216" t="s">
        <v>170</v>
      </c>
      <c r="B46" s="227">
        <v>23773</v>
      </c>
      <c r="C46" s="227">
        <v>3046</v>
      </c>
    </row>
    <row r="47" spans="1:3">
      <c r="A47" s="216" t="s">
        <v>171</v>
      </c>
      <c r="B47" s="227">
        <v>33500</v>
      </c>
      <c r="C47" s="227">
        <v>3274</v>
      </c>
    </row>
    <row r="48" spans="1:3">
      <c r="A48" s="228" t="s">
        <v>172</v>
      </c>
      <c r="B48" s="227">
        <v>755</v>
      </c>
      <c r="C48" s="227">
        <v>118</v>
      </c>
    </row>
    <row r="49" spans="1:3">
      <c r="A49" s="228" t="s">
        <v>173</v>
      </c>
      <c r="B49" s="227">
        <v>1909</v>
      </c>
      <c r="C49" s="227">
        <v>578</v>
      </c>
    </row>
    <row r="50" spans="1:3">
      <c r="A50" s="216" t="s">
        <v>174</v>
      </c>
      <c r="B50" s="227">
        <v>2489</v>
      </c>
      <c r="C50" s="227">
        <v>383</v>
      </c>
    </row>
    <row r="51" spans="1:3">
      <c r="A51" s="229" t="s">
        <v>179</v>
      </c>
      <c r="B51" s="227">
        <v>17521</v>
      </c>
      <c r="C51" s="227">
        <v>1368</v>
      </c>
    </row>
    <row r="52" spans="1:3">
      <c r="A52" s="216" t="s">
        <v>191</v>
      </c>
      <c r="B52" s="227">
        <v>0</v>
      </c>
      <c r="C52" s="227">
        <v>0</v>
      </c>
    </row>
    <row r="54" spans="1:3">
      <c r="A54" s="230" t="s">
        <v>180</v>
      </c>
    </row>
    <row r="55" spans="1:3">
      <c r="A55" s="231" t="s">
        <v>178</v>
      </c>
    </row>
    <row r="56" spans="1:3">
      <c r="A56" s="231" t="s">
        <v>181</v>
      </c>
    </row>
    <row r="57" spans="1:3">
      <c r="A57" s="231"/>
    </row>
    <row r="58" spans="1:3">
      <c r="A58" s="46" t="s">
        <v>113</v>
      </c>
    </row>
    <row r="61" spans="1:3">
      <c r="A61" s="162" t="s">
        <v>184</v>
      </c>
    </row>
    <row r="63" spans="1:3">
      <c r="A63" s="221"/>
      <c r="B63" s="222" t="s">
        <v>167</v>
      </c>
      <c r="C63" s="222" t="s">
        <v>176</v>
      </c>
    </row>
    <row r="64" spans="1:3">
      <c r="A64" s="223" t="s">
        <v>2</v>
      </c>
      <c r="B64" s="224">
        <v>80756</v>
      </c>
      <c r="C64" s="224">
        <v>9069</v>
      </c>
    </row>
    <row r="65" spans="1:3">
      <c r="A65" s="225" t="s">
        <v>168</v>
      </c>
      <c r="B65" s="226"/>
      <c r="C65" s="226"/>
    </row>
    <row r="66" spans="1:3">
      <c r="A66" s="216" t="s">
        <v>169</v>
      </c>
      <c r="B66" s="227">
        <v>1792</v>
      </c>
      <c r="C66" s="227">
        <v>373</v>
      </c>
    </row>
    <row r="67" spans="1:3">
      <c r="A67" s="216" t="s">
        <v>170</v>
      </c>
      <c r="B67" s="227">
        <v>26482</v>
      </c>
      <c r="C67" s="227">
        <v>3507</v>
      </c>
    </row>
    <row r="68" spans="1:3">
      <c r="A68" s="216" t="s">
        <v>171</v>
      </c>
      <c r="B68" s="227">
        <v>32040</v>
      </c>
      <c r="C68" s="227">
        <v>3358</v>
      </c>
    </row>
    <row r="69" spans="1:3">
      <c r="A69" s="228" t="s">
        <v>172</v>
      </c>
      <c r="B69" s="227">
        <v>873</v>
      </c>
      <c r="C69" s="227">
        <v>167</v>
      </c>
    </row>
    <row r="70" spans="1:3">
      <c r="A70" s="228" t="s">
        <v>173</v>
      </c>
      <c r="B70" s="227">
        <v>474</v>
      </c>
      <c r="C70" s="227">
        <v>161</v>
      </c>
    </row>
    <row r="71" spans="1:3">
      <c r="A71" s="216" t="s">
        <v>174</v>
      </c>
      <c r="B71" s="227">
        <v>26</v>
      </c>
      <c r="C71" s="227">
        <v>9</v>
      </c>
    </row>
    <row r="72" spans="1:3">
      <c r="A72" s="229" t="s">
        <v>179</v>
      </c>
      <c r="B72" s="227">
        <v>19069</v>
      </c>
      <c r="C72" s="227">
        <f>+C64-C66-C67-C68-C69-C70-C71</f>
        <v>1494</v>
      </c>
    </row>
    <row r="73" spans="1:3">
      <c r="A73" s="216" t="s">
        <v>191</v>
      </c>
      <c r="B73" s="227">
        <v>0</v>
      </c>
      <c r="C73" s="227">
        <v>0</v>
      </c>
    </row>
    <row r="74" spans="1:3">
      <c r="A74" s="225" t="s">
        <v>175</v>
      </c>
      <c r="B74" s="226"/>
      <c r="C74" s="226"/>
    </row>
    <row r="75" spans="1:3">
      <c r="A75" s="216" t="s">
        <v>169</v>
      </c>
      <c r="B75" s="227">
        <v>1322</v>
      </c>
      <c r="C75" s="227">
        <v>232</v>
      </c>
    </row>
    <row r="76" spans="1:3">
      <c r="A76" s="216" t="s">
        <v>170</v>
      </c>
      <c r="B76" s="227">
        <v>24362</v>
      </c>
      <c r="C76" s="227">
        <v>3084</v>
      </c>
    </row>
    <row r="77" spans="1:3">
      <c r="A77" s="216" t="s">
        <v>171</v>
      </c>
      <c r="B77" s="227">
        <v>30913</v>
      </c>
      <c r="C77" s="227">
        <v>3088</v>
      </c>
    </row>
    <row r="78" spans="1:3">
      <c r="A78" s="228" t="s">
        <v>172</v>
      </c>
      <c r="B78" s="227">
        <v>699</v>
      </c>
      <c r="C78" s="227">
        <v>121</v>
      </c>
    </row>
    <row r="79" spans="1:3">
      <c r="A79" s="228" t="s">
        <v>173</v>
      </c>
      <c r="B79" s="227">
        <v>1501</v>
      </c>
      <c r="C79" s="227">
        <v>466</v>
      </c>
    </row>
    <row r="80" spans="1:3">
      <c r="A80" s="216" t="s">
        <v>174</v>
      </c>
      <c r="B80" s="227">
        <v>1484</v>
      </c>
      <c r="C80" s="227">
        <v>281</v>
      </c>
    </row>
    <row r="81" spans="1:3">
      <c r="A81" s="229" t="s">
        <v>179</v>
      </c>
      <c r="B81" s="227">
        <v>19048</v>
      </c>
      <c r="C81" s="227">
        <v>1478</v>
      </c>
    </row>
    <row r="82" spans="1:3">
      <c r="A82" s="216" t="s">
        <v>191</v>
      </c>
      <c r="B82" s="227">
        <v>1427</v>
      </c>
      <c r="C82" s="227">
        <v>319</v>
      </c>
    </row>
    <row r="84" spans="1:3">
      <c r="A84" s="230" t="s">
        <v>180</v>
      </c>
    </row>
    <row r="85" spans="1:3">
      <c r="A85" s="231" t="s">
        <v>178</v>
      </c>
    </row>
    <row r="86" spans="1:3">
      <c r="A86" s="231" t="s">
        <v>181</v>
      </c>
    </row>
    <row r="87" spans="1:3">
      <c r="A87" s="231"/>
    </row>
    <row r="88" spans="1:3">
      <c r="A88" s="46" t="s">
        <v>113</v>
      </c>
    </row>
    <row r="91" spans="1:3">
      <c r="A91" s="162" t="s">
        <v>177</v>
      </c>
    </row>
    <row r="93" spans="1:3">
      <c r="A93" s="221"/>
      <c r="B93" s="222" t="s">
        <v>167</v>
      </c>
      <c r="C93" s="222" t="s">
        <v>176</v>
      </c>
    </row>
    <row r="94" spans="1:3">
      <c r="A94" s="223" t="s">
        <v>2</v>
      </c>
      <c r="B94" s="224">
        <v>80125</v>
      </c>
      <c r="C94" s="224">
        <v>9052</v>
      </c>
    </row>
    <row r="95" spans="1:3">
      <c r="A95" s="225" t="s">
        <v>168</v>
      </c>
      <c r="B95" s="226"/>
      <c r="C95" s="226"/>
    </row>
    <row r="96" spans="1:3">
      <c r="A96" s="216" t="s">
        <v>169</v>
      </c>
      <c r="B96" s="227">
        <v>1119</v>
      </c>
      <c r="C96" s="227">
        <v>280</v>
      </c>
    </row>
    <row r="97" spans="1:3">
      <c r="A97" s="216" t="s">
        <v>170</v>
      </c>
      <c r="B97" s="227">
        <v>24920</v>
      </c>
      <c r="C97" s="227">
        <v>3349</v>
      </c>
    </row>
    <row r="98" spans="1:3">
      <c r="A98" s="216" t="s">
        <v>171</v>
      </c>
      <c r="B98" s="227">
        <v>33545</v>
      </c>
      <c r="C98" s="227">
        <v>3546</v>
      </c>
    </row>
    <row r="99" spans="1:3">
      <c r="A99" s="228" t="s">
        <v>172</v>
      </c>
      <c r="B99" s="227">
        <v>850</v>
      </c>
      <c r="C99" s="227">
        <v>160</v>
      </c>
    </row>
    <row r="100" spans="1:3">
      <c r="A100" s="228" t="s">
        <v>173</v>
      </c>
      <c r="B100" s="227">
        <v>496</v>
      </c>
      <c r="C100" s="227">
        <v>168</v>
      </c>
    </row>
    <row r="101" spans="1:3">
      <c r="A101" s="216" t="s">
        <v>174</v>
      </c>
      <c r="B101" s="227">
        <v>32</v>
      </c>
      <c r="C101" s="227">
        <v>10</v>
      </c>
    </row>
    <row r="102" spans="1:3">
      <c r="A102" s="229" t="s">
        <v>179</v>
      </c>
      <c r="B102" s="227">
        <v>19163</v>
      </c>
      <c r="C102" s="227">
        <v>1539</v>
      </c>
    </row>
    <row r="103" spans="1:3">
      <c r="A103" s="216" t="s">
        <v>191</v>
      </c>
      <c r="B103" s="227">
        <v>0</v>
      </c>
      <c r="C103" s="227">
        <v>0</v>
      </c>
    </row>
    <row r="104" spans="1:3">
      <c r="A104" s="225" t="s">
        <v>175</v>
      </c>
      <c r="B104" s="226"/>
      <c r="C104" s="226"/>
    </row>
    <row r="105" spans="1:3">
      <c r="A105" s="216" t="s">
        <v>169</v>
      </c>
      <c r="B105" s="227">
        <v>987</v>
      </c>
      <c r="C105" s="227">
        <v>183</v>
      </c>
    </row>
    <row r="106" spans="1:3">
      <c r="A106" s="216" t="s">
        <v>170</v>
      </c>
      <c r="B106" s="227">
        <v>21064</v>
      </c>
      <c r="C106" s="227">
        <v>2796</v>
      </c>
    </row>
    <row r="107" spans="1:3">
      <c r="A107" s="216" t="s">
        <v>171</v>
      </c>
      <c r="B107" s="227">
        <v>34740</v>
      </c>
      <c r="C107" s="227">
        <v>3435</v>
      </c>
    </row>
    <row r="108" spans="1:3">
      <c r="A108" s="228" t="s">
        <v>172</v>
      </c>
      <c r="B108" s="227">
        <v>725</v>
      </c>
      <c r="C108" s="227">
        <v>120</v>
      </c>
    </row>
    <row r="109" spans="1:3">
      <c r="A109" s="228" t="s">
        <v>173</v>
      </c>
      <c r="B109" s="227">
        <v>2306</v>
      </c>
      <c r="C109" s="227">
        <v>739</v>
      </c>
    </row>
    <row r="110" spans="1:3">
      <c r="A110" s="216" t="s">
        <v>174</v>
      </c>
      <c r="B110" s="227">
        <v>1751</v>
      </c>
      <c r="C110" s="227">
        <v>302</v>
      </c>
    </row>
    <row r="111" spans="1:3">
      <c r="A111" s="229" t="s">
        <v>179</v>
      </c>
      <c r="B111" s="227">
        <v>18552</v>
      </c>
      <c r="C111" s="227">
        <v>1475</v>
      </c>
    </row>
    <row r="112" spans="1:3">
      <c r="A112" s="216" t="s">
        <v>191</v>
      </c>
      <c r="B112" s="227">
        <v>0</v>
      </c>
      <c r="C112" s="227">
        <v>2</v>
      </c>
    </row>
    <row r="114" spans="1:1">
      <c r="A114" s="230" t="s">
        <v>180</v>
      </c>
    </row>
    <row r="115" spans="1:1">
      <c r="A115" s="231" t="s">
        <v>178</v>
      </c>
    </row>
    <row r="116" spans="1:1">
      <c r="A116" s="231" t="s">
        <v>181</v>
      </c>
    </row>
    <row r="117" spans="1:1">
      <c r="A117" s="231"/>
    </row>
    <row r="118" spans="1:1">
      <c r="A118" s="46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5"/>
  <sheetViews>
    <sheetView workbookViewId="0">
      <pane ySplit="5" topLeftCell="A6" activePane="bottomLeft" state="frozen"/>
      <selection pane="bottomLeft" activeCell="Q52" sqref="Q52"/>
    </sheetView>
  </sheetViews>
  <sheetFormatPr baseColWidth="10" defaultColWidth="11.5" defaultRowHeight="11"/>
  <cols>
    <col min="1" max="1" width="20.6640625" style="188" customWidth="1"/>
    <col min="2" max="13" width="10.6640625" style="188" customWidth="1"/>
    <col min="14" max="16384" width="11.5" style="188"/>
  </cols>
  <sheetData>
    <row r="1" spans="1:14" s="7" customFormat="1" ht="13.5" customHeight="1">
      <c r="A1" s="175" t="s">
        <v>166</v>
      </c>
      <c r="B1" s="176"/>
      <c r="C1" s="176"/>
      <c r="D1" s="177"/>
      <c r="E1" s="176"/>
      <c r="F1" s="176"/>
      <c r="G1" s="176"/>
      <c r="H1" s="178"/>
      <c r="I1" s="179"/>
      <c r="J1" s="179"/>
      <c r="K1" s="180"/>
      <c r="L1" s="180"/>
      <c r="M1" s="178"/>
    </row>
    <row r="2" spans="1:14" s="7" customFormat="1" ht="13.5" customHeight="1">
      <c r="A2" s="181" t="s">
        <v>74</v>
      </c>
      <c r="B2" s="176"/>
      <c r="C2" s="176"/>
      <c r="D2" s="177"/>
      <c r="E2" s="176"/>
      <c r="F2" s="176"/>
      <c r="G2" s="176"/>
      <c r="H2" s="178"/>
      <c r="I2" s="179"/>
      <c r="J2" s="179"/>
      <c r="K2" s="180"/>
      <c r="L2" s="180"/>
      <c r="M2" s="178"/>
    </row>
    <row r="3" spans="1:14" ht="13.5" customHeight="1">
      <c r="A3" s="182"/>
      <c r="B3" s="183"/>
      <c r="C3" s="183"/>
      <c r="D3" s="184"/>
      <c r="E3" s="183"/>
      <c r="F3" s="183"/>
      <c r="G3" s="183"/>
      <c r="H3" s="185"/>
      <c r="I3" s="186"/>
      <c r="J3" s="186"/>
      <c r="K3" s="187"/>
      <c r="L3" s="187"/>
      <c r="M3" s="185"/>
    </row>
    <row r="4" spans="1:14" s="35" customFormat="1" ht="13.5" customHeight="1">
      <c r="A4" s="189"/>
      <c r="B4" s="190"/>
      <c r="C4" s="191" t="s">
        <v>2</v>
      </c>
      <c r="D4" s="192"/>
      <c r="E4" s="193" t="s">
        <v>137</v>
      </c>
      <c r="F4" s="192"/>
      <c r="G4" s="193" t="s">
        <v>138</v>
      </c>
      <c r="H4" s="192"/>
      <c r="I4" s="193" t="s">
        <v>139</v>
      </c>
      <c r="J4" s="192"/>
      <c r="K4" s="193" t="s">
        <v>140</v>
      </c>
      <c r="L4" s="190"/>
      <c r="M4" s="191" t="s">
        <v>141</v>
      </c>
    </row>
    <row r="5" spans="1:14" ht="13.5" customHeight="1">
      <c r="A5" s="194"/>
      <c r="B5" s="195" t="s">
        <v>142</v>
      </c>
      <c r="C5" s="195" t="s">
        <v>143</v>
      </c>
      <c r="D5" s="196" t="s">
        <v>142</v>
      </c>
      <c r="E5" s="195" t="s">
        <v>143</v>
      </c>
      <c r="F5" s="196" t="s">
        <v>142</v>
      </c>
      <c r="G5" s="195" t="s">
        <v>143</v>
      </c>
      <c r="H5" s="196" t="s">
        <v>142</v>
      </c>
      <c r="I5" s="195" t="s">
        <v>143</v>
      </c>
      <c r="J5" s="196" t="s">
        <v>142</v>
      </c>
      <c r="K5" s="195" t="s">
        <v>143</v>
      </c>
      <c r="L5" s="196" t="s">
        <v>142</v>
      </c>
      <c r="M5" s="195" t="s">
        <v>143</v>
      </c>
    </row>
    <row r="6" spans="1:14" ht="13.5" customHeight="1">
      <c r="A6" s="197">
        <v>1987</v>
      </c>
      <c r="B6" s="75">
        <v>30</v>
      </c>
      <c r="C6" s="75">
        <v>5962</v>
      </c>
      <c r="D6" s="75">
        <v>14</v>
      </c>
      <c r="E6" s="75">
        <v>2806</v>
      </c>
      <c r="F6" s="75">
        <v>1</v>
      </c>
      <c r="G6" s="75">
        <v>134</v>
      </c>
      <c r="H6" s="198">
        <v>11</v>
      </c>
      <c r="I6" s="198">
        <v>1525</v>
      </c>
      <c r="J6" s="198">
        <v>3</v>
      </c>
      <c r="K6" s="198">
        <v>1247</v>
      </c>
      <c r="L6" s="198">
        <v>1</v>
      </c>
      <c r="M6" s="198">
        <v>250</v>
      </c>
      <c r="N6" s="199"/>
    </row>
    <row r="7" spans="1:14" ht="13.5" customHeight="1">
      <c r="A7" s="200">
        <v>1988</v>
      </c>
      <c r="B7" s="155">
        <v>40</v>
      </c>
      <c r="C7" s="155">
        <v>19907</v>
      </c>
      <c r="D7" s="155">
        <v>15</v>
      </c>
      <c r="E7" s="155">
        <v>15424</v>
      </c>
      <c r="F7" s="155">
        <v>4</v>
      </c>
      <c r="G7" s="155">
        <v>387</v>
      </c>
      <c r="H7" s="201">
        <v>11</v>
      </c>
      <c r="I7" s="201">
        <v>1045</v>
      </c>
      <c r="J7" s="201">
        <v>8</v>
      </c>
      <c r="K7" s="201">
        <v>2751</v>
      </c>
      <c r="L7" s="201">
        <v>2</v>
      </c>
      <c r="M7" s="201">
        <v>300</v>
      </c>
    </row>
    <row r="8" spans="1:14" ht="13.5" customHeight="1">
      <c r="A8" s="197">
        <v>1989</v>
      </c>
      <c r="B8" s="75">
        <v>45</v>
      </c>
      <c r="C8" s="75">
        <v>9978</v>
      </c>
      <c r="D8" s="75">
        <v>13</v>
      </c>
      <c r="E8" s="75">
        <v>4693</v>
      </c>
      <c r="F8" s="75">
        <v>3</v>
      </c>
      <c r="G8" s="75">
        <v>1841</v>
      </c>
      <c r="H8" s="198">
        <v>8</v>
      </c>
      <c r="I8" s="198">
        <v>892</v>
      </c>
      <c r="J8" s="198">
        <v>20</v>
      </c>
      <c r="K8" s="198">
        <v>2516</v>
      </c>
      <c r="L8" s="198">
        <v>1</v>
      </c>
      <c r="M8" s="198">
        <v>36</v>
      </c>
    </row>
    <row r="9" spans="1:14" ht="13.5" customHeight="1">
      <c r="A9" s="200">
        <v>1990</v>
      </c>
      <c r="B9" s="155">
        <v>27</v>
      </c>
      <c r="C9" s="155">
        <v>8254</v>
      </c>
      <c r="D9" s="155">
        <v>19</v>
      </c>
      <c r="E9" s="155">
        <v>5680</v>
      </c>
      <c r="F9" s="155">
        <v>2</v>
      </c>
      <c r="G9" s="155">
        <v>1718</v>
      </c>
      <c r="H9" s="201">
        <v>5</v>
      </c>
      <c r="I9" s="201">
        <v>796</v>
      </c>
      <c r="J9" s="201">
        <v>1</v>
      </c>
      <c r="K9" s="201">
        <v>60</v>
      </c>
      <c r="L9" s="201">
        <v>0</v>
      </c>
      <c r="M9" s="201">
        <v>0</v>
      </c>
    </row>
    <row r="10" spans="1:14" ht="13.5" customHeight="1">
      <c r="A10" s="197">
        <v>1991</v>
      </c>
      <c r="B10" s="75">
        <v>31</v>
      </c>
      <c r="C10" s="75">
        <v>6384</v>
      </c>
      <c r="D10" s="75">
        <v>15</v>
      </c>
      <c r="E10" s="75">
        <v>3496</v>
      </c>
      <c r="F10" s="75">
        <v>2</v>
      </c>
      <c r="G10" s="75">
        <v>1274</v>
      </c>
      <c r="H10" s="198">
        <v>5</v>
      </c>
      <c r="I10" s="198">
        <v>677</v>
      </c>
      <c r="J10" s="198">
        <v>8</v>
      </c>
      <c r="K10" s="198">
        <v>633</v>
      </c>
      <c r="L10" s="198">
        <v>1</v>
      </c>
      <c r="M10" s="198">
        <v>304</v>
      </c>
    </row>
    <row r="11" spans="1:14" ht="13.5" customHeight="1">
      <c r="A11" s="200">
        <v>1992</v>
      </c>
      <c r="B11" s="155">
        <v>146</v>
      </c>
      <c r="C11" s="155">
        <v>48113</v>
      </c>
      <c r="D11" s="155">
        <v>119</v>
      </c>
      <c r="E11" s="155">
        <v>42886</v>
      </c>
      <c r="F11" s="155">
        <v>8</v>
      </c>
      <c r="G11" s="155">
        <v>3748</v>
      </c>
      <c r="H11" s="201">
        <v>15</v>
      </c>
      <c r="I11" s="201">
        <v>866</v>
      </c>
      <c r="J11" s="201">
        <v>1</v>
      </c>
      <c r="K11" s="201">
        <v>193</v>
      </c>
      <c r="L11" s="201">
        <v>3</v>
      </c>
      <c r="M11" s="201">
        <v>420</v>
      </c>
    </row>
    <row r="12" spans="1:14" ht="13.5" customHeight="1">
      <c r="A12" s="197">
        <v>1993</v>
      </c>
      <c r="B12" s="75">
        <v>300</v>
      </c>
      <c r="C12" s="75">
        <v>56524</v>
      </c>
      <c r="D12" s="75">
        <v>196</v>
      </c>
      <c r="E12" s="75">
        <v>39518</v>
      </c>
      <c r="F12" s="75">
        <v>11</v>
      </c>
      <c r="G12" s="75">
        <v>5605</v>
      </c>
      <c r="H12" s="198">
        <v>43</v>
      </c>
      <c r="I12" s="198">
        <v>3857</v>
      </c>
      <c r="J12" s="198">
        <v>29</v>
      </c>
      <c r="K12" s="198">
        <v>4430</v>
      </c>
      <c r="L12" s="198">
        <v>21</v>
      </c>
      <c r="M12" s="198">
        <v>3114</v>
      </c>
    </row>
    <row r="13" spans="1:14" ht="13.5" customHeight="1">
      <c r="A13" s="200">
        <v>1994</v>
      </c>
      <c r="B13" s="155">
        <v>212</v>
      </c>
      <c r="C13" s="155">
        <v>40754</v>
      </c>
      <c r="D13" s="155">
        <v>156</v>
      </c>
      <c r="E13" s="155">
        <v>26057</v>
      </c>
      <c r="F13" s="155">
        <v>4</v>
      </c>
      <c r="G13" s="155">
        <v>5570</v>
      </c>
      <c r="H13" s="201">
        <v>18</v>
      </c>
      <c r="I13" s="201">
        <v>2604</v>
      </c>
      <c r="J13" s="201">
        <v>30</v>
      </c>
      <c r="K13" s="201">
        <v>6291</v>
      </c>
      <c r="L13" s="201">
        <v>4</v>
      </c>
      <c r="M13" s="201">
        <v>232</v>
      </c>
    </row>
    <row r="14" spans="1:14" ht="13.5" customHeight="1">
      <c r="A14" s="197">
        <v>1995</v>
      </c>
      <c r="B14" s="75">
        <v>175</v>
      </c>
      <c r="C14" s="75">
        <v>42445</v>
      </c>
      <c r="D14" s="75">
        <v>82</v>
      </c>
      <c r="E14" s="75">
        <v>22543</v>
      </c>
      <c r="F14" s="75">
        <v>12</v>
      </c>
      <c r="G14" s="75">
        <v>5230</v>
      </c>
      <c r="H14" s="198">
        <v>24</v>
      </c>
      <c r="I14" s="198">
        <v>6209</v>
      </c>
      <c r="J14" s="198">
        <v>52</v>
      </c>
      <c r="K14" s="198">
        <v>7989</v>
      </c>
      <c r="L14" s="198">
        <v>5</v>
      </c>
      <c r="M14" s="198">
        <v>474</v>
      </c>
    </row>
    <row r="15" spans="1:14" ht="13.5" customHeight="1">
      <c r="A15" s="200">
        <v>1996</v>
      </c>
      <c r="B15" s="155">
        <v>318</v>
      </c>
      <c r="C15" s="155">
        <v>63457</v>
      </c>
      <c r="D15" s="155">
        <v>175</v>
      </c>
      <c r="E15" s="155">
        <v>42808</v>
      </c>
      <c r="F15" s="155">
        <v>5</v>
      </c>
      <c r="G15" s="155">
        <v>1552</v>
      </c>
      <c r="H15" s="201">
        <v>86</v>
      </c>
      <c r="I15" s="201">
        <v>11257</v>
      </c>
      <c r="J15" s="201">
        <v>46</v>
      </c>
      <c r="K15" s="201">
        <v>7640</v>
      </c>
      <c r="L15" s="201">
        <v>6</v>
      </c>
      <c r="M15" s="201">
        <v>200</v>
      </c>
    </row>
    <row r="16" spans="1:14" ht="13.5" customHeight="1">
      <c r="A16" s="197">
        <v>1997</v>
      </c>
      <c r="B16" s="75">
        <v>356</v>
      </c>
      <c r="C16" s="75">
        <v>104724</v>
      </c>
      <c r="D16" s="75">
        <v>219</v>
      </c>
      <c r="E16" s="75">
        <v>72000</v>
      </c>
      <c r="F16" s="75">
        <v>9</v>
      </c>
      <c r="G16" s="75">
        <v>2269</v>
      </c>
      <c r="H16" s="198">
        <v>60</v>
      </c>
      <c r="I16" s="198">
        <v>14591</v>
      </c>
      <c r="J16" s="198">
        <v>60</v>
      </c>
      <c r="K16" s="198">
        <v>15064</v>
      </c>
      <c r="L16" s="198">
        <v>8</v>
      </c>
      <c r="M16" s="198">
        <v>800</v>
      </c>
    </row>
    <row r="17" spans="1:13" ht="13.5" customHeight="1">
      <c r="A17" s="200">
        <v>1998</v>
      </c>
      <c r="B17" s="155">
        <v>395</v>
      </c>
      <c r="C17" s="155">
        <v>94402</v>
      </c>
      <c r="D17" s="155">
        <v>250</v>
      </c>
      <c r="E17" s="155">
        <v>55811</v>
      </c>
      <c r="F17" s="155">
        <v>9</v>
      </c>
      <c r="G17" s="155">
        <v>1532</v>
      </c>
      <c r="H17" s="201">
        <v>67</v>
      </c>
      <c r="I17" s="201">
        <v>9077</v>
      </c>
      <c r="J17" s="201">
        <v>69</v>
      </c>
      <c r="K17" s="201">
        <v>27982</v>
      </c>
      <c r="L17" s="201">
        <v>0</v>
      </c>
      <c r="M17" s="201">
        <v>0</v>
      </c>
    </row>
    <row r="18" spans="1:13" ht="13.5" customHeight="1">
      <c r="A18" s="197">
        <v>1999</v>
      </c>
      <c r="B18" s="75">
        <v>359</v>
      </c>
      <c r="C18" s="75">
        <v>57475</v>
      </c>
      <c r="D18" s="75">
        <v>198</v>
      </c>
      <c r="E18" s="75">
        <v>35795</v>
      </c>
      <c r="F18" s="75">
        <v>34</v>
      </c>
      <c r="G18" s="75">
        <v>3433</v>
      </c>
      <c r="H18" s="198">
        <v>50</v>
      </c>
      <c r="I18" s="198">
        <v>2939</v>
      </c>
      <c r="J18" s="198">
        <v>77</v>
      </c>
      <c r="K18" s="198">
        <v>15308</v>
      </c>
      <c r="L18" s="198">
        <v>0</v>
      </c>
      <c r="M18" s="198">
        <v>0</v>
      </c>
    </row>
    <row r="19" spans="1:13" ht="13.5" customHeight="1">
      <c r="A19" s="200">
        <v>2000</v>
      </c>
      <c r="B19" s="155">
        <v>184</v>
      </c>
      <c r="C19" s="155">
        <v>37484</v>
      </c>
      <c r="D19" s="155">
        <v>82</v>
      </c>
      <c r="E19" s="155">
        <v>20520</v>
      </c>
      <c r="F19" s="155">
        <v>37</v>
      </c>
      <c r="G19" s="155">
        <v>7029</v>
      </c>
      <c r="H19" s="201">
        <v>16</v>
      </c>
      <c r="I19" s="201">
        <v>2021</v>
      </c>
      <c r="J19" s="201">
        <v>44</v>
      </c>
      <c r="K19" s="201">
        <v>7241</v>
      </c>
      <c r="L19" s="201">
        <v>5</v>
      </c>
      <c r="M19" s="201">
        <v>673</v>
      </c>
    </row>
    <row r="20" spans="1:13" ht="13.5" customHeight="1">
      <c r="A20" s="197">
        <v>2001</v>
      </c>
      <c r="B20" s="75">
        <v>226</v>
      </c>
      <c r="C20" s="75">
        <v>35556</v>
      </c>
      <c r="D20" s="75">
        <v>91</v>
      </c>
      <c r="E20" s="75">
        <v>14738</v>
      </c>
      <c r="F20" s="75">
        <v>39</v>
      </c>
      <c r="G20" s="75">
        <v>5100</v>
      </c>
      <c r="H20" s="198">
        <v>35</v>
      </c>
      <c r="I20" s="198">
        <v>7810</v>
      </c>
      <c r="J20" s="198">
        <v>56</v>
      </c>
      <c r="K20" s="198">
        <v>7381</v>
      </c>
      <c r="L20" s="198">
        <v>5</v>
      </c>
      <c r="M20" s="198">
        <v>527</v>
      </c>
    </row>
    <row r="21" spans="1:13" ht="13.5" customHeight="1">
      <c r="A21" s="200">
        <v>2002</v>
      </c>
      <c r="B21" s="155">
        <v>145</v>
      </c>
      <c r="C21" s="155">
        <v>31759</v>
      </c>
      <c r="D21" s="155">
        <v>75</v>
      </c>
      <c r="E21" s="155">
        <v>20184</v>
      </c>
      <c r="F21" s="155">
        <v>10</v>
      </c>
      <c r="G21" s="155">
        <v>1093</v>
      </c>
      <c r="H21" s="201">
        <v>18</v>
      </c>
      <c r="I21" s="201">
        <v>2075</v>
      </c>
      <c r="J21" s="201">
        <v>42</v>
      </c>
      <c r="K21" s="201">
        <v>8407</v>
      </c>
      <c r="L21" s="201">
        <v>0</v>
      </c>
      <c r="M21" s="201">
        <v>0</v>
      </c>
    </row>
    <row r="22" spans="1:13" ht="13.5" customHeight="1">
      <c r="A22" s="197">
        <v>2003</v>
      </c>
      <c r="B22" s="75">
        <v>155</v>
      </c>
      <c r="C22" s="75">
        <v>48067</v>
      </c>
      <c r="D22" s="75">
        <v>105</v>
      </c>
      <c r="E22" s="75">
        <v>30157</v>
      </c>
      <c r="F22" s="75">
        <v>4</v>
      </c>
      <c r="G22" s="75">
        <v>3470</v>
      </c>
      <c r="H22" s="198">
        <v>11</v>
      </c>
      <c r="I22" s="198">
        <v>8615</v>
      </c>
      <c r="J22" s="198">
        <v>31</v>
      </c>
      <c r="K22" s="198">
        <v>4385</v>
      </c>
      <c r="L22" s="198">
        <v>4</v>
      </c>
      <c r="M22" s="198">
        <v>1440</v>
      </c>
    </row>
    <row r="23" spans="1:13" ht="13.5" customHeight="1">
      <c r="A23" s="200">
        <v>2004</v>
      </c>
      <c r="B23" s="155">
        <v>209</v>
      </c>
      <c r="C23" s="155">
        <v>47226</v>
      </c>
      <c r="D23" s="155">
        <v>109</v>
      </c>
      <c r="E23" s="155">
        <v>30679</v>
      </c>
      <c r="F23" s="155">
        <v>9</v>
      </c>
      <c r="G23" s="155">
        <v>982</v>
      </c>
      <c r="H23" s="201">
        <v>39</v>
      </c>
      <c r="I23" s="201">
        <v>5442</v>
      </c>
      <c r="J23" s="201">
        <v>48</v>
      </c>
      <c r="K23" s="201">
        <v>9368</v>
      </c>
      <c r="L23" s="201">
        <v>4</v>
      </c>
      <c r="M23" s="201">
        <v>755</v>
      </c>
    </row>
    <row r="24" spans="1:13" ht="13.5" customHeight="1">
      <c r="A24" s="197">
        <v>2005</v>
      </c>
      <c r="B24" s="75">
        <v>196</v>
      </c>
      <c r="C24" s="75">
        <v>47793</v>
      </c>
      <c r="D24" s="75">
        <v>104</v>
      </c>
      <c r="E24" s="75">
        <v>23736</v>
      </c>
      <c r="F24" s="75">
        <v>39</v>
      </c>
      <c r="G24" s="75">
        <v>8869</v>
      </c>
      <c r="H24" s="198">
        <v>8</v>
      </c>
      <c r="I24" s="198">
        <v>1873</v>
      </c>
      <c r="J24" s="198">
        <v>43</v>
      </c>
      <c r="K24" s="198">
        <v>13036</v>
      </c>
      <c r="L24" s="198">
        <v>2</v>
      </c>
      <c r="M24" s="198">
        <v>279</v>
      </c>
    </row>
    <row r="25" spans="1:13" ht="13.5" customHeight="1">
      <c r="A25" s="200">
        <v>2006</v>
      </c>
      <c r="B25" s="155">
        <v>216</v>
      </c>
      <c r="C25" s="155">
        <v>50824</v>
      </c>
      <c r="D25" s="155">
        <v>137</v>
      </c>
      <c r="E25" s="155">
        <v>32437</v>
      </c>
      <c r="F25" s="155">
        <v>40</v>
      </c>
      <c r="G25" s="155">
        <v>8438</v>
      </c>
      <c r="H25" s="201">
        <v>7</v>
      </c>
      <c r="I25" s="201">
        <v>481</v>
      </c>
      <c r="J25" s="201">
        <v>23</v>
      </c>
      <c r="K25" s="201">
        <v>8286</v>
      </c>
      <c r="L25" s="201">
        <v>9</v>
      </c>
      <c r="M25" s="201">
        <v>1182</v>
      </c>
    </row>
    <row r="26" spans="1:13" ht="13.5" customHeight="1">
      <c r="A26" s="197">
        <v>2007</v>
      </c>
      <c r="B26" s="75">
        <v>178</v>
      </c>
      <c r="C26" s="75">
        <v>50054</v>
      </c>
      <c r="D26" s="75">
        <v>97</v>
      </c>
      <c r="E26" s="75">
        <v>34188</v>
      </c>
      <c r="F26" s="75">
        <v>39</v>
      </c>
      <c r="G26" s="75">
        <v>7577</v>
      </c>
      <c r="H26" s="198">
        <v>2</v>
      </c>
      <c r="I26" s="198">
        <v>99</v>
      </c>
      <c r="J26" s="198">
        <v>32</v>
      </c>
      <c r="K26" s="198">
        <v>7489</v>
      </c>
      <c r="L26" s="198">
        <v>8</v>
      </c>
      <c r="M26" s="198">
        <v>701</v>
      </c>
    </row>
    <row r="27" spans="1:13" ht="13.5" customHeight="1">
      <c r="A27" s="200">
        <v>2008</v>
      </c>
      <c r="B27" s="155">
        <v>133</v>
      </c>
      <c r="C27" s="155">
        <v>36605</v>
      </c>
      <c r="D27" s="155">
        <v>79</v>
      </c>
      <c r="E27" s="155">
        <v>23783</v>
      </c>
      <c r="F27" s="155">
        <v>18</v>
      </c>
      <c r="G27" s="155">
        <v>2192</v>
      </c>
      <c r="H27" s="201">
        <v>8</v>
      </c>
      <c r="I27" s="201">
        <v>1802</v>
      </c>
      <c r="J27" s="201">
        <v>27</v>
      </c>
      <c r="K27" s="201">
        <v>8733</v>
      </c>
      <c r="L27" s="201">
        <v>1</v>
      </c>
      <c r="M27" s="201">
        <v>95</v>
      </c>
    </row>
    <row r="28" spans="1:13" ht="13.5" customHeight="1">
      <c r="A28" s="197">
        <v>2009</v>
      </c>
      <c r="B28" s="75">
        <v>87</v>
      </c>
      <c r="C28" s="75">
        <v>24292</v>
      </c>
      <c r="D28" s="75">
        <v>47</v>
      </c>
      <c r="E28" s="75">
        <v>16426</v>
      </c>
      <c r="F28" s="75">
        <v>19</v>
      </c>
      <c r="G28" s="75">
        <v>3281</v>
      </c>
      <c r="H28" s="198">
        <v>5</v>
      </c>
      <c r="I28" s="198">
        <v>1410</v>
      </c>
      <c r="J28" s="198">
        <v>10</v>
      </c>
      <c r="K28" s="198">
        <v>1717</v>
      </c>
      <c r="L28" s="198">
        <v>6</v>
      </c>
      <c r="M28" s="198">
        <v>1458</v>
      </c>
    </row>
    <row r="29" spans="1:13" ht="13.5" customHeight="1">
      <c r="A29" s="200">
        <v>2010</v>
      </c>
      <c r="B29" s="155">
        <v>102</v>
      </c>
      <c r="C29" s="155">
        <v>37231</v>
      </c>
      <c r="D29" s="155">
        <v>50</v>
      </c>
      <c r="E29" s="155">
        <v>27593</v>
      </c>
      <c r="F29" s="155">
        <v>19</v>
      </c>
      <c r="G29" s="155">
        <v>3454</v>
      </c>
      <c r="H29" s="201">
        <v>2</v>
      </c>
      <c r="I29" s="201">
        <v>797</v>
      </c>
      <c r="J29" s="201">
        <v>30</v>
      </c>
      <c r="K29" s="201">
        <v>4867</v>
      </c>
      <c r="L29" s="201">
        <v>1</v>
      </c>
      <c r="M29" s="201">
        <v>520</v>
      </c>
    </row>
    <row r="30" spans="1:13" ht="13.5" customHeight="1">
      <c r="A30" s="197">
        <v>2011</v>
      </c>
      <c r="B30" s="75">
        <v>85</v>
      </c>
      <c r="C30" s="75">
        <v>13069</v>
      </c>
      <c r="D30" s="75">
        <v>44</v>
      </c>
      <c r="E30" s="75">
        <v>7850</v>
      </c>
      <c r="F30" s="75">
        <v>16</v>
      </c>
      <c r="G30" s="75">
        <v>2561</v>
      </c>
      <c r="H30" s="198">
        <v>1</v>
      </c>
      <c r="I30" s="198">
        <v>167</v>
      </c>
      <c r="J30" s="198">
        <v>23</v>
      </c>
      <c r="K30" s="198">
        <v>2414</v>
      </c>
      <c r="L30" s="198">
        <v>1</v>
      </c>
      <c r="M30" s="198">
        <v>77</v>
      </c>
    </row>
    <row r="31" spans="1:13" ht="13.5" customHeight="1">
      <c r="A31" s="200">
        <v>2012</v>
      </c>
      <c r="B31" s="155">
        <v>80</v>
      </c>
      <c r="C31" s="155">
        <v>16154</v>
      </c>
      <c r="D31" s="155">
        <v>37</v>
      </c>
      <c r="E31" s="155">
        <v>10468</v>
      </c>
      <c r="F31" s="155">
        <v>16</v>
      </c>
      <c r="G31" s="155">
        <v>2360</v>
      </c>
      <c r="H31" s="201">
        <v>2</v>
      </c>
      <c r="I31" s="201">
        <v>577</v>
      </c>
      <c r="J31" s="201">
        <v>21</v>
      </c>
      <c r="K31" s="201">
        <v>1627</v>
      </c>
      <c r="L31" s="201">
        <v>4</v>
      </c>
      <c r="M31" s="201">
        <v>1122</v>
      </c>
    </row>
    <row r="32" spans="1:13" ht="13.5" customHeight="1">
      <c r="A32" s="197">
        <v>2013</v>
      </c>
      <c r="B32" s="75">
        <v>58</v>
      </c>
      <c r="C32" s="75">
        <v>12317</v>
      </c>
      <c r="D32" s="75">
        <v>25</v>
      </c>
      <c r="E32" s="75">
        <v>6490</v>
      </c>
      <c r="F32" s="75">
        <v>8</v>
      </c>
      <c r="G32" s="75">
        <v>2161</v>
      </c>
      <c r="H32" s="198">
        <v>2</v>
      </c>
      <c r="I32" s="198">
        <v>577</v>
      </c>
      <c r="J32" s="198">
        <v>20</v>
      </c>
      <c r="K32" s="198">
        <v>2128</v>
      </c>
      <c r="L32" s="198">
        <v>3</v>
      </c>
      <c r="M32" s="198">
        <v>961</v>
      </c>
    </row>
    <row r="33" spans="1:14" ht="13.5" customHeight="1">
      <c r="A33" s="200">
        <v>2014</v>
      </c>
      <c r="B33" s="155">
        <v>87</v>
      </c>
      <c r="C33" s="155">
        <v>26861</v>
      </c>
      <c r="D33" s="155">
        <v>38</v>
      </c>
      <c r="E33" s="155">
        <v>12095</v>
      </c>
      <c r="F33" s="155">
        <v>12</v>
      </c>
      <c r="G33" s="155">
        <v>5429</v>
      </c>
      <c r="H33" s="201">
        <v>2</v>
      </c>
      <c r="I33" s="201">
        <v>239</v>
      </c>
      <c r="J33" s="201">
        <v>34</v>
      </c>
      <c r="K33" s="201">
        <v>8893</v>
      </c>
      <c r="L33" s="201">
        <v>1</v>
      </c>
      <c r="M33" s="201">
        <v>205</v>
      </c>
    </row>
    <row r="34" spans="1:14" ht="13.5" customHeight="1">
      <c r="A34" s="197">
        <v>2015</v>
      </c>
      <c r="B34" s="75">
        <v>95</v>
      </c>
      <c r="C34" s="75">
        <v>29280</v>
      </c>
      <c r="D34" s="75">
        <v>57</v>
      </c>
      <c r="E34" s="75">
        <v>15653</v>
      </c>
      <c r="F34" s="75">
        <v>15</v>
      </c>
      <c r="G34" s="75">
        <v>3853</v>
      </c>
      <c r="H34" s="198">
        <v>3</v>
      </c>
      <c r="I34" s="198">
        <v>7067</v>
      </c>
      <c r="J34" s="198">
        <v>15</v>
      </c>
      <c r="K34" s="198">
        <v>1957</v>
      </c>
      <c r="L34" s="198">
        <v>5</v>
      </c>
      <c r="M34" s="198">
        <v>750</v>
      </c>
    </row>
    <row r="35" spans="1:14" ht="13.5" customHeight="1">
      <c r="A35" s="200">
        <v>2016</v>
      </c>
      <c r="B35" s="155">
        <v>66</v>
      </c>
      <c r="C35" s="155">
        <v>22351</v>
      </c>
      <c r="D35" s="155">
        <v>35</v>
      </c>
      <c r="E35" s="155">
        <v>18248</v>
      </c>
      <c r="F35" s="155">
        <v>10</v>
      </c>
      <c r="G35" s="155">
        <v>1917</v>
      </c>
      <c r="H35" s="201">
        <v>2</v>
      </c>
      <c r="I35" s="201">
        <v>561</v>
      </c>
      <c r="J35" s="201">
        <v>17</v>
      </c>
      <c r="K35" s="201">
        <v>1303</v>
      </c>
      <c r="L35" s="201">
        <v>2</v>
      </c>
      <c r="M35" s="201">
        <v>322</v>
      </c>
    </row>
    <row r="36" spans="1:14" ht="13.5" customHeight="1">
      <c r="A36" s="197">
        <v>2017</v>
      </c>
      <c r="B36" s="75">
        <v>109</v>
      </c>
      <c r="C36" s="75">
        <v>22222</v>
      </c>
      <c r="D36" s="75">
        <v>47</v>
      </c>
      <c r="E36" s="75">
        <v>13539</v>
      </c>
      <c r="F36" s="75">
        <v>17</v>
      </c>
      <c r="G36" s="75">
        <v>5055</v>
      </c>
      <c r="H36" s="198">
        <v>4</v>
      </c>
      <c r="I36" s="198">
        <v>474</v>
      </c>
      <c r="J36" s="198">
        <v>33</v>
      </c>
      <c r="K36" s="198">
        <v>2024</v>
      </c>
      <c r="L36" s="198">
        <v>8</v>
      </c>
      <c r="M36" s="198">
        <v>1130</v>
      </c>
      <c r="N36" s="161"/>
    </row>
    <row r="37" spans="1:14" ht="13.5" customHeight="1">
      <c r="A37" s="200">
        <v>2018</v>
      </c>
      <c r="B37" s="155">
        <v>97</v>
      </c>
      <c r="C37" s="155">
        <v>13324</v>
      </c>
      <c r="D37" s="155">
        <v>49</v>
      </c>
      <c r="E37" s="155">
        <v>8520</v>
      </c>
      <c r="F37" s="155">
        <v>9</v>
      </c>
      <c r="G37" s="155">
        <v>1387</v>
      </c>
      <c r="H37" s="201">
        <v>1</v>
      </c>
      <c r="I37" s="201">
        <v>146</v>
      </c>
      <c r="J37" s="201">
        <v>26</v>
      </c>
      <c r="K37" s="201">
        <v>2821</v>
      </c>
      <c r="L37" s="201">
        <v>12</v>
      </c>
      <c r="M37" s="201">
        <v>450</v>
      </c>
      <c r="N37" s="161"/>
    </row>
    <row r="38" spans="1:14" ht="13.5" customHeight="1">
      <c r="A38" s="197">
        <v>2019</v>
      </c>
      <c r="B38" s="75">
        <v>120</v>
      </c>
      <c r="C38" s="75">
        <v>22744</v>
      </c>
      <c r="D38" s="75">
        <v>62</v>
      </c>
      <c r="E38" s="75">
        <v>15818</v>
      </c>
      <c r="F38" s="75">
        <v>14</v>
      </c>
      <c r="G38" s="75">
        <v>2314</v>
      </c>
      <c r="H38" s="198">
        <v>4</v>
      </c>
      <c r="I38" s="198">
        <v>1856</v>
      </c>
      <c r="J38" s="198">
        <v>32</v>
      </c>
      <c r="K38" s="198">
        <v>2383</v>
      </c>
      <c r="L38" s="198">
        <v>8</v>
      </c>
      <c r="M38" s="198">
        <v>373</v>
      </c>
      <c r="N38" s="161"/>
    </row>
    <row r="39" spans="1:14" ht="13.5" customHeight="1">
      <c r="A39" s="200">
        <v>2020</v>
      </c>
      <c r="B39" s="155">
        <v>178</v>
      </c>
      <c r="C39" s="155">
        <v>25001</v>
      </c>
      <c r="D39" s="155">
        <v>64</v>
      </c>
      <c r="E39" s="155">
        <v>13833</v>
      </c>
      <c r="F39" s="155">
        <v>20</v>
      </c>
      <c r="G39" s="155">
        <v>4003</v>
      </c>
      <c r="H39" s="201">
        <v>4</v>
      </c>
      <c r="I39" s="201">
        <v>654</v>
      </c>
      <c r="J39" s="201">
        <v>85</v>
      </c>
      <c r="K39" s="201">
        <v>5500</v>
      </c>
      <c r="L39" s="201">
        <v>5</v>
      </c>
      <c r="M39" s="201">
        <v>1011</v>
      </c>
      <c r="N39" s="161"/>
    </row>
    <row r="40" spans="1:14" ht="13.5" customHeight="1">
      <c r="A40" s="197">
        <v>2021</v>
      </c>
      <c r="B40" s="75">
        <v>172</v>
      </c>
      <c r="C40" s="75">
        <v>30035</v>
      </c>
      <c r="D40" s="75">
        <v>90</v>
      </c>
      <c r="E40" s="75">
        <v>17479</v>
      </c>
      <c r="F40" s="75">
        <v>29</v>
      </c>
      <c r="G40" s="75">
        <v>4370</v>
      </c>
      <c r="H40" s="198">
        <v>3</v>
      </c>
      <c r="I40" s="198">
        <v>370</v>
      </c>
      <c r="J40" s="198">
        <v>32</v>
      </c>
      <c r="K40" s="198">
        <v>4848</v>
      </c>
      <c r="L40" s="198">
        <v>18</v>
      </c>
      <c r="M40" s="198">
        <v>2968</v>
      </c>
      <c r="N40" s="161"/>
    </row>
    <row r="41" spans="1:14" ht="13.5" customHeight="1">
      <c r="A41" s="200">
        <v>2022</v>
      </c>
      <c r="B41" s="155">
        <v>218</v>
      </c>
      <c r="C41" s="155">
        <v>36522</v>
      </c>
      <c r="D41" s="155">
        <v>97</v>
      </c>
      <c r="E41" s="155">
        <v>17021</v>
      </c>
      <c r="F41" s="155">
        <v>39</v>
      </c>
      <c r="G41" s="155">
        <v>10713</v>
      </c>
      <c r="H41" s="201">
        <v>15</v>
      </c>
      <c r="I41" s="201">
        <v>1559</v>
      </c>
      <c r="J41" s="201">
        <v>59</v>
      </c>
      <c r="K41" s="201">
        <v>6260</v>
      </c>
      <c r="L41" s="201">
        <v>8</v>
      </c>
      <c r="M41" s="201">
        <v>969</v>
      </c>
      <c r="N41" s="161"/>
    </row>
    <row r="42" spans="1:14" ht="13.5" customHeight="1">
      <c r="A42" s="197">
        <v>2023</v>
      </c>
      <c r="B42" s="75">
        <v>256</v>
      </c>
      <c r="C42" s="75">
        <v>36984</v>
      </c>
      <c r="D42" s="75">
        <v>109</v>
      </c>
      <c r="E42" s="75">
        <v>19063</v>
      </c>
      <c r="F42" s="75">
        <v>39</v>
      </c>
      <c r="G42" s="75">
        <v>7034</v>
      </c>
      <c r="H42" s="198">
        <v>11</v>
      </c>
      <c r="I42" s="198">
        <v>1698</v>
      </c>
      <c r="J42" s="198">
        <v>82</v>
      </c>
      <c r="K42" s="198">
        <v>8856</v>
      </c>
      <c r="L42" s="198">
        <v>15</v>
      </c>
      <c r="M42" s="198">
        <v>333</v>
      </c>
      <c r="N42" s="161"/>
    </row>
    <row r="43" spans="1:14" ht="13.5" customHeight="1">
      <c r="A43" s="200">
        <v>2024</v>
      </c>
      <c r="B43" s="155">
        <v>282</v>
      </c>
      <c r="C43" s="155">
        <v>44102</v>
      </c>
      <c r="D43" s="155">
        <v>122</v>
      </c>
      <c r="E43" s="155">
        <v>21874</v>
      </c>
      <c r="F43" s="155">
        <v>48</v>
      </c>
      <c r="G43" s="155">
        <v>9963</v>
      </c>
      <c r="H43" s="201">
        <v>2</v>
      </c>
      <c r="I43" s="201">
        <v>535</v>
      </c>
      <c r="J43" s="201">
        <v>88</v>
      </c>
      <c r="K43" s="201">
        <v>7147</v>
      </c>
      <c r="L43" s="201">
        <v>22</v>
      </c>
      <c r="M43" s="201">
        <v>4583</v>
      </c>
      <c r="N43" s="161"/>
    </row>
    <row r="44" spans="1:14" ht="13.5" customHeight="1">
      <c r="A44" s="197">
        <v>2025</v>
      </c>
      <c r="B44" s="75">
        <v>317</v>
      </c>
      <c r="C44" s="75">
        <v>38911</v>
      </c>
      <c r="D44" s="75">
        <v>104</v>
      </c>
      <c r="E44" s="75">
        <v>18842</v>
      </c>
      <c r="F44" s="75">
        <v>67</v>
      </c>
      <c r="G44" s="75">
        <v>12767</v>
      </c>
      <c r="H44" s="198">
        <v>12</v>
      </c>
      <c r="I44" s="198">
        <v>1609</v>
      </c>
      <c r="J44" s="198">
        <v>107</v>
      </c>
      <c r="K44" s="198">
        <v>4432</v>
      </c>
      <c r="L44" s="198">
        <v>27</v>
      </c>
      <c r="M44" s="198">
        <v>1261</v>
      </c>
      <c r="N44" s="161"/>
    </row>
    <row r="45" spans="1:14" ht="13.5" customHeight="1">
      <c r="A45" s="197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161"/>
    </row>
    <row r="46" spans="1:14" ht="13.5" customHeight="1">
      <c r="A46" s="202" t="s">
        <v>144</v>
      </c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161"/>
    </row>
    <row r="48" spans="1:14" ht="13.5" customHeight="1">
      <c r="B48" s="204"/>
      <c r="C48" s="205"/>
      <c r="D48" s="205"/>
      <c r="E48" s="205"/>
      <c r="F48" s="205"/>
      <c r="G48" s="205"/>
      <c r="H48" s="206"/>
      <c r="I48" s="207"/>
      <c r="J48" s="204"/>
      <c r="K48" s="205"/>
    </row>
    <row r="49" spans="2:11" ht="13.5" customHeight="1">
      <c r="B49" s="204"/>
      <c r="C49" s="205"/>
      <c r="D49" s="205"/>
      <c r="E49" s="205"/>
      <c r="F49" s="205"/>
      <c r="G49" s="205"/>
      <c r="H49" s="206"/>
      <c r="I49" s="207"/>
      <c r="J49" s="204"/>
      <c r="K49" s="205"/>
    </row>
    <row r="50" spans="2:11" ht="13.5" customHeight="1">
      <c r="B50" s="204"/>
      <c r="C50" s="205"/>
      <c r="D50" s="205"/>
      <c r="E50" s="205"/>
      <c r="F50" s="205"/>
      <c r="G50" s="205"/>
      <c r="H50" s="206"/>
      <c r="I50" s="207"/>
      <c r="J50" s="204"/>
      <c r="K50" s="205"/>
    </row>
    <row r="51" spans="2:11" ht="13.5" customHeight="1">
      <c r="B51" s="204"/>
      <c r="C51" s="205"/>
      <c r="D51" s="205"/>
      <c r="E51" s="205"/>
      <c r="F51" s="205"/>
      <c r="G51" s="205"/>
      <c r="H51" s="206"/>
      <c r="I51" s="207"/>
      <c r="J51" s="204"/>
      <c r="K51" s="205"/>
    </row>
    <row r="52" spans="2:11" ht="13.5" customHeight="1">
      <c r="B52" s="204"/>
      <c r="C52" s="205"/>
      <c r="D52" s="205"/>
      <c r="E52" s="205"/>
      <c r="F52" s="205"/>
      <c r="G52" s="205"/>
      <c r="H52" s="206"/>
      <c r="I52" s="207"/>
      <c r="J52" s="204"/>
      <c r="K52" s="205"/>
    </row>
    <row r="53" spans="2:11" ht="13.5" customHeight="1">
      <c r="B53" s="204"/>
      <c r="C53" s="205"/>
      <c r="D53" s="205"/>
      <c r="E53" s="205"/>
      <c r="F53" s="205"/>
      <c r="G53" s="205"/>
      <c r="H53" s="206"/>
      <c r="I53" s="207"/>
      <c r="J53" s="204"/>
      <c r="K53" s="205"/>
    </row>
    <row r="54" spans="2:11" ht="13.5" customHeight="1">
      <c r="B54" s="204"/>
      <c r="C54" s="205"/>
      <c r="D54" s="205"/>
      <c r="E54" s="205"/>
      <c r="F54" s="205"/>
      <c r="G54" s="205"/>
      <c r="H54" s="206"/>
      <c r="I54" s="207"/>
      <c r="J54" s="204"/>
      <c r="K54" s="205"/>
    </row>
    <row r="55" spans="2:11" ht="13.5" customHeight="1">
      <c r="B55" s="204"/>
      <c r="C55" s="205"/>
      <c r="D55" s="205"/>
      <c r="E55" s="205"/>
      <c r="F55" s="205"/>
      <c r="G55" s="205"/>
      <c r="H55" s="206"/>
      <c r="I55" s="207"/>
      <c r="J55" s="204"/>
      <c r="K55" s="20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41</vt:i4>
      </vt:variant>
    </vt:vector>
  </HeadingPairs>
  <TitlesOfParts>
    <vt:vector size="50" baseType="lpstr">
      <vt:lpstr>Index</vt:lpstr>
      <vt:lpstr>T09.01.01</vt:lpstr>
      <vt:lpstr>T09.01.02</vt:lpstr>
      <vt:lpstr>T09.01.03</vt:lpstr>
      <vt:lpstr>T09.01.04</vt:lpstr>
      <vt:lpstr>T09.01.05</vt:lpstr>
      <vt:lpstr>T09.01.06</vt:lpstr>
      <vt:lpstr>T09.01.07</vt:lpstr>
      <vt:lpstr>T09.01.08</vt:lpstr>
      <vt:lpstr>T09.01.03_2010</vt:lpstr>
      <vt:lpstr>T09.01.03_2011</vt:lpstr>
      <vt:lpstr>T09.01.03_2012</vt:lpstr>
      <vt:lpstr>T09.01.03_2013</vt:lpstr>
      <vt:lpstr>T09.01.03_2014</vt:lpstr>
      <vt:lpstr>T09.01.03_2015</vt:lpstr>
      <vt:lpstr>T09.01.03_2016</vt:lpstr>
      <vt:lpstr>T09.01.03_2017</vt:lpstr>
      <vt:lpstr>T09.01.03_2018</vt:lpstr>
      <vt:lpstr>T09.01.03_2019</vt:lpstr>
      <vt:lpstr>T09.01.03_2020</vt:lpstr>
      <vt:lpstr>T09.01.03_2021</vt:lpstr>
      <vt:lpstr>T09.01.03_2022</vt:lpstr>
      <vt:lpstr>T09.01.03_2022_a</vt:lpstr>
      <vt:lpstr>T09.01.04_2010</vt:lpstr>
      <vt:lpstr>T09.01.04_2011</vt:lpstr>
      <vt:lpstr>T09.01.04_2012</vt:lpstr>
      <vt:lpstr>T09.01.04_2013</vt:lpstr>
      <vt:lpstr>T09.01.04_2014</vt:lpstr>
      <vt:lpstr>T09.01.04_2015</vt:lpstr>
      <vt:lpstr>T09.01.04_2016</vt:lpstr>
      <vt:lpstr>T09.01.04_2017</vt:lpstr>
      <vt:lpstr>T09.01.04_2018</vt:lpstr>
      <vt:lpstr>T09.01.04_2019</vt:lpstr>
      <vt:lpstr>T09.01.04_2020</vt:lpstr>
      <vt:lpstr>T09.01.04_2021</vt:lpstr>
      <vt:lpstr>T09.01.04_2022</vt:lpstr>
      <vt:lpstr>T09.01.04_2022a</vt:lpstr>
      <vt:lpstr>T09.01.05_2010</vt:lpstr>
      <vt:lpstr>T09.01.05_2011</vt:lpstr>
      <vt:lpstr>T09.01.05_2012</vt:lpstr>
      <vt:lpstr>T09.01.05_2013</vt:lpstr>
      <vt:lpstr>T09.01.05_2014</vt:lpstr>
      <vt:lpstr>T09.01.05_2015</vt:lpstr>
      <vt:lpstr>T09.01.05_2016</vt:lpstr>
      <vt:lpstr>T09.01.05_2017</vt:lpstr>
      <vt:lpstr>T09.01.05_2018</vt:lpstr>
      <vt:lpstr>T09.01.05_2019</vt:lpstr>
      <vt:lpstr>T09.01.05_2020</vt:lpstr>
      <vt:lpstr>T09.01.05_2021</vt:lpstr>
      <vt:lpstr>T09.01.05_2022</vt:lpstr>
    </vt:vector>
  </TitlesOfParts>
  <Company>Ville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09.01 Logement</dc:title>
  <dc:creator>Lausanne statistique</dc:creator>
  <cp:lastModifiedBy>9cjveja7s5@unifr.ch</cp:lastModifiedBy>
  <cp:lastPrinted>2022-10-11T12:54:08Z</cp:lastPrinted>
  <dcterms:created xsi:type="dcterms:W3CDTF">2016-03-08T07:38:44Z</dcterms:created>
  <dcterms:modified xsi:type="dcterms:W3CDTF">2025-10-04T17:42:04Z</dcterms:modified>
</cp:coreProperties>
</file>
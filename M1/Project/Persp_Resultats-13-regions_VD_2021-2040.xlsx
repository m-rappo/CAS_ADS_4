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O:\09_STATISTIQUES\09_04_Explorations\MR\CAS ADS\"/>
    </mc:Choice>
  </mc:AlternateContent>
  <xr:revisionPtr revIDLastSave="0" documentId="8_{40D6E18C-97F4-4F0D-BDBB-2BEB1F080C2B}" xr6:coauthVersionLast="47" xr6:coauthVersionMax="47" xr10:uidLastSave="{00000000-0000-0000-0000-000000000000}"/>
  <bookViews>
    <workbookView xWindow="-120" yWindow="-120" windowWidth="22920" windowHeight="13800" activeTab="9" xr2:uid="{00000000-000D-0000-FFFF-FFFF00000000}"/>
  </bookViews>
  <sheets>
    <sheet name="info" sheetId="14" r:id="rId1"/>
    <sheet name="scénario.moyen" sheetId="16" r:id="rId2"/>
    <sheet name="scénario.haut" sheetId="17" r:id="rId3"/>
    <sheet name="scénario.bas" sheetId="18" r:id="rId4"/>
    <sheet name="R1" sheetId="19" r:id="rId5"/>
    <sheet name="R2" sheetId="20" r:id="rId6"/>
    <sheet name="R3" sheetId="21" r:id="rId7"/>
    <sheet name="R4" sheetId="22" r:id="rId8"/>
    <sheet name="R5" sheetId="23" r:id="rId9"/>
    <sheet name="R6" sheetId="24" r:id="rId10"/>
    <sheet name="R7" sheetId="25" r:id="rId11"/>
    <sheet name="R8" sheetId="26" r:id="rId12"/>
    <sheet name="R9" sheetId="27" r:id="rId13"/>
    <sheet name="R10" sheetId="28" r:id="rId14"/>
    <sheet name="R11" sheetId="29" r:id="rId15"/>
    <sheet name="R12" sheetId="30" r:id="rId16"/>
    <sheet name="R13" sheetId="31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8" i="31" l="1"/>
  <c r="G28" i="31"/>
  <c r="F28" i="31"/>
  <c r="E28" i="31"/>
  <c r="D28" i="31"/>
  <c r="C28" i="31"/>
  <c r="B28" i="31"/>
  <c r="H20" i="31"/>
  <c r="G20" i="31"/>
  <c r="F20" i="31"/>
  <c r="E20" i="31"/>
  <c r="D20" i="31"/>
  <c r="C20" i="31"/>
  <c r="B20" i="31"/>
  <c r="H12" i="31"/>
  <c r="G12" i="31"/>
  <c r="F12" i="31"/>
  <c r="E12" i="31"/>
  <c r="D12" i="31"/>
  <c r="C12" i="31"/>
  <c r="B12" i="31"/>
  <c r="H28" i="30"/>
  <c r="G28" i="30"/>
  <c r="F28" i="30"/>
  <c r="E28" i="30"/>
  <c r="D28" i="30"/>
  <c r="C28" i="30"/>
  <c r="B28" i="30"/>
  <c r="H20" i="30"/>
  <c r="G20" i="30"/>
  <c r="F20" i="30"/>
  <c r="E20" i="30"/>
  <c r="D20" i="30"/>
  <c r="C20" i="30"/>
  <c r="B20" i="30"/>
  <c r="H12" i="30"/>
  <c r="G12" i="30"/>
  <c r="F12" i="30"/>
  <c r="E12" i="30"/>
  <c r="D12" i="30"/>
  <c r="C12" i="30"/>
  <c r="B12" i="30"/>
  <c r="H28" i="29"/>
  <c r="G28" i="29"/>
  <c r="F28" i="29"/>
  <c r="E28" i="29"/>
  <c r="D28" i="29"/>
  <c r="C28" i="29"/>
  <c r="B28" i="29"/>
  <c r="H20" i="29"/>
  <c r="G20" i="29"/>
  <c r="F20" i="29"/>
  <c r="E20" i="29"/>
  <c r="D20" i="29"/>
  <c r="C20" i="29"/>
  <c r="B20" i="29"/>
  <c r="H12" i="29"/>
  <c r="G12" i="29"/>
  <c r="F12" i="29"/>
  <c r="E12" i="29"/>
  <c r="D12" i="29"/>
  <c r="C12" i="29"/>
  <c r="B12" i="29"/>
  <c r="H28" i="28"/>
  <c r="G28" i="28"/>
  <c r="F28" i="28"/>
  <c r="E28" i="28"/>
  <c r="D28" i="28"/>
  <c r="C28" i="28"/>
  <c r="B28" i="28"/>
  <c r="H20" i="28"/>
  <c r="G20" i="28"/>
  <c r="F20" i="28"/>
  <c r="E20" i="28"/>
  <c r="D20" i="28"/>
  <c r="C20" i="28"/>
  <c r="B20" i="28"/>
  <c r="H12" i="28"/>
  <c r="G12" i="28"/>
  <c r="F12" i="28"/>
  <c r="E12" i="28"/>
  <c r="D12" i="28"/>
  <c r="C12" i="28"/>
  <c r="B12" i="28"/>
  <c r="H28" i="27"/>
  <c r="G28" i="27"/>
  <c r="F28" i="27"/>
  <c r="E28" i="27"/>
  <c r="D28" i="27"/>
  <c r="C28" i="27"/>
  <c r="B28" i="27"/>
  <c r="H20" i="27"/>
  <c r="G20" i="27"/>
  <c r="F20" i="27"/>
  <c r="E20" i="27"/>
  <c r="D20" i="27"/>
  <c r="C20" i="27"/>
  <c r="B20" i="27"/>
  <c r="H12" i="27"/>
  <c r="G12" i="27"/>
  <c r="F12" i="27"/>
  <c r="E12" i="27"/>
  <c r="D12" i="27"/>
  <c r="C12" i="27"/>
  <c r="B12" i="27"/>
  <c r="H28" i="26"/>
  <c r="G28" i="26"/>
  <c r="F28" i="26"/>
  <c r="E28" i="26"/>
  <c r="D28" i="26"/>
  <c r="C28" i="26"/>
  <c r="B28" i="26"/>
  <c r="H20" i="26"/>
  <c r="G20" i="26"/>
  <c r="F20" i="26"/>
  <c r="E20" i="26"/>
  <c r="D20" i="26"/>
  <c r="C20" i="26"/>
  <c r="B20" i="26"/>
  <c r="H12" i="26"/>
  <c r="G12" i="26"/>
  <c r="F12" i="26"/>
  <c r="E12" i="26"/>
  <c r="D12" i="26"/>
  <c r="C12" i="26"/>
  <c r="B12" i="26"/>
  <c r="H28" i="25"/>
  <c r="G28" i="25"/>
  <c r="F28" i="25"/>
  <c r="E28" i="25"/>
  <c r="D28" i="25"/>
  <c r="C28" i="25"/>
  <c r="B28" i="25"/>
  <c r="H20" i="25"/>
  <c r="G20" i="25"/>
  <c r="F20" i="25"/>
  <c r="E20" i="25"/>
  <c r="D20" i="25"/>
  <c r="C20" i="25"/>
  <c r="B20" i="25"/>
  <c r="H12" i="25"/>
  <c r="G12" i="25"/>
  <c r="F12" i="25"/>
  <c r="E12" i="25"/>
  <c r="D12" i="25"/>
  <c r="C12" i="25"/>
  <c r="B12" i="25"/>
  <c r="H28" i="24"/>
  <c r="G28" i="24"/>
  <c r="F28" i="24"/>
  <c r="E28" i="24"/>
  <c r="D28" i="24"/>
  <c r="C28" i="24"/>
  <c r="B28" i="24"/>
  <c r="H20" i="24"/>
  <c r="G20" i="24"/>
  <c r="F20" i="24"/>
  <c r="E20" i="24"/>
  <c r="D20" i="24"/>
  <c r="C20" i="24"/>
  <c r="B20" i="24"/>
  <c r="H12" i="24"/>
  <c r="G12" i="24"/>
  <c r="F12" i="24"/>
  <c r="E12" i="24"/>
  <c r="D12" i="24"/>
  <c r="C12" i="24"/>
  <c r="B12" i="24"/>
  <c r="H28" i="23"/>
  <c r="G28" i="23"/>
  <c r="F28" i="23"/>
  <c r="E28" i="23"/>
  <c r="D28" i="23"/>
  <c r="C28" i="23"/>
  <c r="B28" i="23"/>
  <c r="H20" i="23"/>
  <c r="G20" i="23"/>
  <c r="F20" i="23"/>
  <c r="E20" i="23"/>
  <c r="D20" i="23"/>
  <c r="C20" i="23"/>
  <c r="B20" i="23"/>
  <c r="H12" i="23"/>
  <c r="G12" i="23"/>
  <c r="F12" i="23"/>
  <c r="E12" i="23"/>
  <c r="D12" i="23"/>
  <c r="C12" i="23"/>
  <c r="B12" i="23"/>
  <c r="H28" i="22"/>
  <c r="G28" i="22"/>
  <c r="F28" i="22"/>
  <c r="E28" i="22"/>
  <c r="D28" i="22"/>
  <c r="C28" i="22"/>
  <c r="B28" i="22"/>
  <c r="H20" i="22"/>
  <c r="G20" i="22"/>
  <c r="F20" i="22"/>
  <c r="E20" i="22"/>
  <c r="D20" i="22"/>
  <c r="C20" i="22"/>
  <c r="B20" i="22"/>
  <c r="H12" i="22"/>
  <c r="G12" i="22"/>
  <c r="F12" i="22"/>
  <c r="E12" i="22"/>
  <c r="D12" i="22"/>
  <c r="C12" i="22"/>
  <c r="B12" i="22"/>
  <c r="H28" i="21"/>
  <c r="G28" i="21"/>
  <c r="F28" i="21"/>
  <c r="E28" i="21"/>
  <c r="D28" i="21"/>
  <c r="C28" i="21"/>
  <c r="B28" i="21"/>
  <c r="H20" i="21"/>
  <c r="G20" i="21"/>
  <c r="F20" i="21"/>
  <c r="E20" i="21"/>
  <c r="D20" i="21"/>
  <c r="C20" i="21"/>
  <c r="B20" i="21"/>
  <c r="H12" i="21"/>
  <c r="G12" i="21"/>
  <c r="F12" i="21"/>
  <c r="E12" i="21"/>
  <c r="D12" i="21"/>
  <c r="C12" i="21"/>
  <c r="B12" i="21"/>
  <c r="H28" i="20"/>
  <c r="G28" i="20"/>
  <c r="F28" i="20"/>
  <c r="E28" i="20"/>
  <c r="D28" i="20"/>
  <c r="C28" i="20"/>
  <c r="B28" i="20"/>
  <c r="H20" i="20"/>
  <c r="G20" i="20"/>
  <c r="F20" i="20"/>
  <c r="E20" i="20"/>
  <c r="D20" i="20"/>
  <c r="C20" i="20"/>
  <c r="B20" i="20"/>
  <c r="H12" i="20"/>
  <c r="G12" i="20"/>
  <c r="F12" i="20"/>
  <c r="E12" i="20"/>
  <c r="D12" i="20"/>
  <c r="C12" i="20"/>
  <c r="B12" i="20"/>
  <c r="H28" i="19"/>
  <c r="G28" i="19"/>
  <c r="F28" i="19"/>
  <c r="E28" i="19"/>
  <c r="D28" i="19"/>
  <c r="C28" i="19"/>
  <c r="B28" i="19"/>
  <c r="H20" i="19"/>
  <c r="G20" i="19"/>
  <c r="F20" i="19"/>
  <c r="E20" i="19"/>
  <c r="D20" i="19"/>
  <c r="C20" i="19"/>
  <c r="B20" i="19"/>
  <c r="H12" i="19"/>
  <c r="G12" i="19"/>
  <c r="F12" i="19"/>
  <c r="E12" i="19"/>
  <c r="D12" i="19"/>
  <c r="C12" i="19"/>
  <c r="B12" i="19"/>
</calcChain>
</file>

<file path=xl/sharedStrings.xml><?xml version="1.0" encoding="utf-8"?>
<sst xmlns="http://schemas.openxmlformats.org/spreadsheetml/2006/main" count="356" uniqueCount="75">
  <si>
    <t>20 à 64 ans</t>
  </si>
  <si>
    <t>65 à 79 ans</t>
  </si>
  <si>
    <t>scénario moyen</t>
  </si>
  <si>
    <t>R1</t>
  </si>
  <si>
    <t>Aigle</t>
  </si>
  <si>
    <t>R2</t>
  </si>
  <si>
    <t>Broye - Vully</t>
  </si>
  <si>
    <t>R3</t>
  </si>
  <si>
    <t>Gros-de-Vaud</t>
  </si>
  <si>
    <t>R4</t>
  </si>
  <si>
    <t>La Vallée</t>
  </si>
  <si>
    <t>R5</t>
  </si>
  <si>
    <t>Yverdon</t>
  </si>
  <si>
    <t>R6</t>
  </si>
  <si>
    <t>Lausanne-ville</t>
  </si>
  <si>
    <t>R7</t>
  </si>
  <si>
    <t>Romanel</t>
  </si>
  <si>
    <t>R8</t>
  </si>
  <si>
    <t>Lavaux - Oron</t>
  </si>
  <si>
    <t>R9</t>
  </si>
  <si>
    <t>Morges</t>
  </si>
  <si>
    <t>R10</t>
  </si>
  <si>
    <t>Nyon</t>
  </si>
  <si>
    <t>R11</t>
  </si>
  <si>
    <t>Ouest lausannois</t>
  </si>
  <si>
    <t>R12</t>
  </si>
  <si>
    <t>Pays d'Enhaut</t>
  </si>
  <si>
    <t>R13</t>
  </si>
  <si>
    <t>Vevey</t>
  </si>
  <si>
    <t>R14</t>
  </si>
  <si>
    <t>Vaud</t>
  </si>
  <si>
    <t>Description des régions</t>
  </si>
  <si>
    <t>District d'Aigle</t>
  </si>
  <si>
    <t>District de Broye - Vully</t>
  </si>
  <si>
    <t>District de Lavaux - Oron</t>
  </si>
  <si>
    <t>District de Morges</t>
  </si>
  <si>
    <t>District de Nyon</t>
  </si>
  <si>
    <t>District du Gros-de-Vaud</t>
  </si>
  <si>
    <t>Sous-arrondissement électoral de La Vallée</t>
  </si>
  <si>
    <t>Sous-arrondissement électoral d'Yverdon</t>
  </si>
  <si>
    <t>Ville de Lausanne</t>
  </si>
  <si>
    <t>Sous-arrondissement électoral de Romanel</t>
  </si>
  <si>
    <t>District de l'Ouest lausannois</t>
  </si>
  <si>
    <t>Sous-arrondissement électoral du Pays d'Enhaut</t>
  </si>
  <si>
    <t>Sous-arrondissement électoral de Vevey</t>
  </si>
  <si>
    <t>Canton de Vaud</t>
  </si>
  <si>
    <t>District de la Riviera-Pays-d'Enhaut</t>
  </si>
  <si>
    <t>District de Lausanne</t>
  </si>
  <si>
    <t>District du Jura-Nord vaudois</t>
  </si>
  <si>
    <t>Correspondance géographique :</t>
  </si>
  <si>
    <t>Perspectives 2021-2040 : résultats régionaux</t>
  </si>
  <si>
    <t>Broye-Vully</t>
  </si>
  <si>
    <t>Lausanne-Ville</t>
  </si>
  <si>
    <t>Lavaux-Oron</t>
  </si>
  <si>
    <t>canton</t>
  </si>
  <si>
    <t>Population résidante au 31.12.</t>
  </si>
  <si>
    <t>Population résidante des régions au 31.12.</t>
  </si>
  <si>
    <t>scénario haut</t>
  </si>
  <si>
    <t>scénario bas</t>
  </si>
  <si>
    <t>0 à 19 ans</t>
  </si>
  <si>
    <t>80 ans et plus</t>
  </si>
  <si>
    <t>total</t>
  </si>
  <si>
    <t>district d'Aigle</t>
  </si>
  <si>
    <t>district de Broye-Vully</t>
  </si>
  <si>
    <t>district du Gros-de-Vaud</t>
  </si>
  <si>
    <t>sous-arrondissement éléctoral de la Vallée</t>
  </si>
  <si>
    <t>sous-arrondissement éléctoral d'Yverdon</t>
  </si>
  <si>
    <t>ville de Lausanne</t>
  </si>
  <si>
    <t>sous-arrondissement éléctoral de Romanel</t>
  </si>
  <si>
    <t>district de Lavaux-Oron</t>
  </si>
  <si>
    <t>district de Morges</t>
  </si>
  <si>
    <t>district de Nyon</t>
  </si>
  <si>
    <t>district de l'Ouest lausannois</t>
  </si>
  <si>
    <t>sous-arrondissement éléctoral du Pays-d'Enhaut</t>
  </si>
  <si>
    <t>sous-arrondissement éléctoral de Vevey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</si>
</sst>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"/>
    <numFmt numFmtId="165" formatCode="#\ ###"/>
  </numFmts>
  <fonts count="14" x14ac:knownFonts="1">
    <font>
      <sz val="12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9"/>
      <color indexed="12"/>
      <name val="Times New Roman"/>
      <family val="1"/>
    </font>
    <font>
      <sz val="10"/>
      <name val="Times New Roman"/>
      <family val="1"/>
    </font>
    <font>
      <sz val="10"/>
      <color rgb="FF0070C0"/>
      <name val="arial"/>
      <family val="2"/>
    </font>
    <font>
      <b/>
      <sz val="10"/>
      <color rgb="FF000000"/>
      <name val="Arial"/>
      <family val="2"/>
    </font>
    <font>
      <sz val="9.5"/>
      <color rgb="FF000000"/>
      <name val="Arial"/>
      <family val="2"/>
    </font>
    <font>
      <sz val="9.5"/>
      <color theme="1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99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7" fillId="2" borderId="5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" fontId="7" fillId="2" borderId="5" xfId="0" applyNumberFormat="1" applyFont="1" applyFill="1" applyBorder="1" applyAlignment="1">
      <alignment horizontal="center" vertical="top" wrapText="1"/>
    </xf>
    <xf numFmtId="164" fontId="8" fillId="2" borderId="4" xfId="0" applyNumberFormat="1" applyFont="1" applyFill="1" applyBorder="1" applyAlignment="1">
      <alignment vertical="top" wrapText="1"/>
    </xf>
    <xf numFmtId="164" fontId="8" fillId="2" borderId="5" xfId="0" applyNumberFormat="1" applyFont="1" applyFill="1" applyBorder="1" applyAlignment="1">
      <alignment vertical="top" wrapText="1"/>
    </xf>
    <xf numFmtId="1" fontId="7" fillId="2" borderId="1" xfId="0" applyNumberFormat="1" applyFont="1" applyFill="1" applyBorder="1" applyAlignment="1">
      <alignment horizontal="center" vertical="top" wrapText="1"/>
    </xf>
    <xf numFmtId="164" fontId="9" fillId="2" borderId="0" xfId="0" applyNumberFormat="1" applyFont="1" applyFill="1"/>
    <xf numFmtId="164" fontId="9" fillId="2" borderId="1" xfId="0" applyNumberFormat="1" applyFont="1" applyFill="1" applyBorder="1"/>
    <xf numFmtId="1" fontId="7" fillId="2" borderId="3" xfId="0" applyNumberFormat="1" applyFont="1" applyFill="1" applyBorder="1" applyAlignment="1">
      <alignment horizontal="center" vertical="top" wrapText="1"/>
    </xf>
    <xf numFmtId="164" fontId="9" fillId="2" borderId="2" xfId="0" applyNumberFormat="1" applyFont="1" applyFill="1" applyBorder="1"/>
    <xf numFmtId="164" fontId="9" fillId="2" borderId="3" xfId="0" applyNumberFormat="1" applyFont="1" applyFill="1" applyBorder="1"/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2" fillId="2" borderId="0" xfId="0" applyFont="1" applyFill="1"/>
    <xf numFmtId="0" fontId="2" fillId="2" borderId="0" xfId="0" applyFont="1" applyFill="1" applyBorder="1"/>
    <xf numFmtId="0" fontId="2" fillId="2" borderId="6" xfId="0" applyNumberFormat="1" applyFont="1" applyFill="1" applyBorder="1"/>
    <xf numFmtId="0" fontId="2" fillId="2" borderId="4" xfId="1" quotePrefix="1" applyNumberFormat="1" applyFont="1" applyFill="1" applyBorder="1" applyAlignment="1" applyProtection="1"/>
    <xf numFmtId="0" fontId="2" fillId="2" borderId="4" xfId="0" applyFont="1" applyFill="1" applyBorder="1"/>
    <xf numFmtId="0" fontId="2" fillId="2" borderId="5" xfId="0" applyFont="1" applyFill="1" applyBorder="1" applyAlignment="1">
      <alignment horizontal="left"/>
    </xf>
    <xf numFmtId="0" fontId="2" fillId="2" borderId="7" xfId="0" applyNumberFormat="1" applyFont="1" applyFill="1" applyBorder="1"/>
    <xf numFmtId="0" fontId="2" fillId="2" borderId="0" xfId="1" quotePrefix="1" applyNumberFormat="1" applyFont="1" applyFill="1" applyBorder="1" applyAlignment="1" applyProtection="1"/>
    <xf numFmtId="0" fontId="2" fillId="2" borderId="1" xfId="0" applyFont="1" applyFill="1" applyBorder="1" applyAlignment="1">
      <alignment horizontal="left"/>
    </xf>
    <xf numFmtId="0" fontId="2" fillId="2" borderId="0" xfId="1" applyNumberFormat="1" applyFont="1" applyFill="1" applyBorder="1" applyAlignment="1" applyProtection="1"/>
    <xf numFmtId="0" fontId="6" fillId="2" borderId="0" xfId="0" applyFont="1" applyFill="1" applyBorder="1"/>
    <xf numFmtId="0" fontId="2" fillId="2" borderId="8" xfId="0" applyNumberFormat="1" applyFont="1" applyFill="1" applyBorder="1"/>
    <xf numFmtId="0" fontId="3" fillId="2" borderId="2" xfId="1" applyFont="1" applyFill="1" applyBorder="1" applyAlignment="1" applyProtection="1"/>
    <xf numFmtId="0" fontId="2" fillId="2" borderId="2" xfId="0" applyFont="1" applyFill="1" applyBorder="1"/>
    <xf numFmtId="0" fontId="2" fillId="2" borderId="3" xfId="0" applyFont="1" applyFill="1" applyBorder="1" applyAlignment="1">
      <alignment horizontal="left"/>
    </xf>
    <xf numFmtId="0" fontId="1" fillId="2" borderId="0" xfId="0" applyFont="1" applyFill="1"/>
    <xf numFmtId="0" fontId="0" fillId="2" borderId="0" xfId="0" applyFill="1"/>
    <xf numFmtId="0" fontId="1" fillId="2" borderId="9" xfId="0" applyFont="1" applyFill="1" applyBorder="1"/>
    <xf numFmtId="0" fontId="0" fillId="2" borderId="9" xfId="0" applyFill="1" applyBorder="1"/>
    <xf numFmtId="0" fontId="5" fillId="2" borderId="9" xfId="0" applyFont="1" applyFill="1" applyBorder="1"/>
    <xf numFmtId="164" fontId="11" fillId="2" borderId="4" xfId="0" applyNumberFormat="1" applyFont="1" applyFill="1" applyBorder="1" applyAlignment="1">
      <alignment vertical="top" wrapText="1"/>
    </xf>
    <xf numFmtId="164" fontId="11" fillId="2" borderId="5" xfId="0" applyNumberFormat="1" applyFont="1" applyFill="1" applyBorder="1" applyAlignment="1">
      <alignment vertical="top" wrapText="1"/>
    </xf>
    <xf numFmtId="164" fontId="12" fillId="2" borderId="0" xfId="0" applyNumberFormat="1" applyFont="1" applyFill="1"/>
    <xf numFmtId="164" fontId="12" fillId="2" borderId="1" xfId="0" applyNumberFormat="1" applyFont="1" applyFill="1" applyBorder="1"/>
    <xf numFmtId="164" fontId="12" fillId="2" borderId="2" xfId="0" applyNumberFormat="1" applyFont="1" applyFill="1" applyBorder="1"/>
    <xf numFmtId="164" fontId="12" fillId="2" borderId="3" xfId="0" applyNumberFormat="1" applyFont="1" applyFill="1" applyBorder="1"/>
    <xf numFmtId="164" fontId="7" fillId="2" borderId="5" xfId="0" applyNumberFormat="1" applyFont="1" applyFill="1" applyBorder="1" applyAlignment="1">
      <alignment horizontal="center" vertical="top" wrapText="1"/>
    </xf>
    <xf numFmtId="164" fontId="7" fillId="2" borderId="4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164" fontId="11" fillId="2" borderId="0" xfId="0" applyNumberFormat="1" applyFont="1" applyFill="1" applyAlignment="1">
      <alignment vertical="top" wrapText="1"/>
    </xf>
    <xf numFmtId="164" fontId="11" fillId="2" borderId="1" xfId="0" applyNumberFormat="1" applyFont="1" applyFill="1" applyBorder="1" applyAlignment="1">
      <alignment vertical="top" wrapText="1"/>
    </xf>
    <xf numFmtId="164" fontId="11" fillId="2" borderId="2" xfId="0" applyNumberFormat="1" applyFont="1" applyFill="1" applyBorder="1" applyAlignment="1">
      <alignment vertical="top" wrapText="1"/>
    </xf>
    <xf numFmtId="164" fontId="11" fillId="2" borderId="3" xfId="0" applyNumberFormat="1" applyFont="1" applyFill="1" applyBorder="1" applyAlignment="1">
      <alignment vertical="top" wrapText="1"/>
    </xf>
    <xf numFmtId="0" fontId="13" fillId="2" borderId="5" xfId="0" applyFont="1" applyFill="1" applyBorder="1"/>
    <xf numFmtId="0" fontId="12" fillId="2" borderId="4" xfId="0" applyFont="1" applyFill="1" applyBorder="1"/>
    <xf numFmtId="1" fontId="12" fillId="2" borderId="5" xfId="0" applyNumberFormat="1" applyFont="1" applyFill="1" applyBorder="1"/>
    <xf numFmtId="1" fontId="13" fillId="2" borderId="5" xfId="0" applyNumberFormat="1" applyFont="1" applyFill="1" applyBorder="1" applyAlignment="1">
      <alignment horizontal="centerContinuous"/>
    </xf>
    <xf numFmtId="1" fontId="12" fillId="2" borderId="4" xfId="0" applyNumberFormat="1" applyFont="1" applyFill="1" applyBorder="1" applyAlignment="1">
      <alignment horizontal="centerContinuous"/>
    </xf>
    <xf numFmtId="0" fontId="13" fillId="2" borderId="1" xfId="0" applyFont="1" applyFill="1" applyBorder="1"/>
    <xf numFmtId="0" fontId="13" fillId="2" borderId="0" xfId="0" applyFont="1" applyFill="1"/>
    <xf numFmtId="1" fontId="13" fillId="2" borderId="1" xfId="0" applyNumberFormat="1" applyFont="1" applyFill="1" applyBorder="1"/>
    <xf numFmtId="1" fontId="13" fillId="2" borderId="0" xfId="0" applyNumberFormat="1" applyFont="1" applyFill="1"/>
    <xf numFmtId="165" fontId="11" fillId="2" borderId="4" xfId="0" applyNumberFormat="1" applyFont="1" applyFill="1" applyBorder="1" applyAlignment="1">
      <alignment vertical="top" wrapText="1"/>
    </xf>
    <xf numFmtId="165" fontId="12" fillId="2" borderId="5" xfId="0" applyNumberFormat="1" applyFont="1" applyFill="1" applyBorder="1"/>
    <xf numFmtId="165" fontId="12" fillId="2" borderId="4" xfId="0" applyNumberFormat="1" applyFont="1" applyFill="1" applyBorder="1"/>
    <xf numFmtId="165" fontId="11" fillId="2" borderId="0" xfId="0" applyNumberFormat="1" applyFont="1" applyFill="1" applyAlignment="1">
      <alignment vertical="top" wrapText="1"/>
    </xf>
    <xf numFmtId="165" fontId="12" fillId="2" borderId="1" xfId="0" applyNumberFormat="1" applyFont="1" applyFill="1" applyBorder="1"/>
    <xf numFmtId="165" fontId="12" fillId="2" borderId="0" xfId="0" applyNumberFormat="1" applyFont="1" applyFill="1"/>
    <xf numFmtId="0" fontId="12" fillId="2" borderId="0" xfId="0" applyFont="1" applyFill="1"/>
    <xf numFmtId="1" fontId="12" fillId="2" borderId="1" xfId="0" applyNumberFormat="1" applyFont="1" applyFill="1" applyBorder="1"/>
    <xf numFmtId="1" fontId="12" fillId="2" borderId="0" xfId="0" applyNumberFormat="1" applyFont="1" applyFill="1"/>
    <xf numFmtId="1" fontId="13" fillId="2" borderId="1" xfId="0" applyNumberFormat="1" applyFont="1" applyFill="1" applyBorder="1" applyAlignment="1">
      <alignment horizontal="centerContinuous"/>
    </xf>
    <xf numFmtId="1" fontId="12" fillId="2" borderId="0" xfId="0" applyNumberFormat="1" applyFont="1" applyFill="1" applyAlignment="1">
      <alignment horizontal="centerContinuous"/>
    </xf>
    <xf numFmtId="0" fontId="13" fillId="2" borderId="3" xfId="0" applyFont="1" applyFill="1" applyBorder="1"/>
    <xf numFmtId="165" fontId="12" fillId="2" borderId="2" xfId="0" applyNumberFormat="1" applyFont="1" applyFill="1" applyBorder="1"/>
    <xf numFmtId="165" fontId="12" fillId="2" borderId="3" xfId="0" applyNumberFormat="1" applyFont="1" applyFill="1" applyBorder="1"/>
    <xf numFmtId="1" fontId="13" fillId="2" borderId="4" xfId="0" applyNumberFormat="1" applyFont="1" applyFill="1" applyBorder="1" applyAlignment="1">
      <alignment horizontal="centerContinuous"/>
    </xf>
    <xf numFmtId="1" fontId="13" fillId="2" borderId="0" xfId="0" applyNumberFormat="1" applyFont="1" applyFill="1" applyAlignment="1">
      <alignment horizontal="centerContinuous"/>
    </xf>
    <xf numFmtId="0" fontId="0" fillId="2" borderId="0" xfId="0" applyFill="1" applyBorder="1"/>
    <xf numFmtId="0" fontId="2" fillId="2" borderId="1" xfId="1" applyNumberFormat="1" applyFont="1" applyFill="1" applyBorder="1" applyAlignment="1" applyProtection="1">
      <alignment horizontal="left" vertical="center"/>
    </xf>
    <xf numFmtId="0" fontId="2" fillId="2" borderId="1" xfId="1" applyFont="1" applyFill="1" applyBorder="1" applyAlignment="1" applyProtection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009900"/>
      <color rgb="FFFED8C0"/>
      <color rgb="FFFFCC99"/>
      <color rgb="FFFFEFE5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3</xdr:col>
      <xdr:colOff>95250</xdr:colOff>
      <xdr:row>14</xdr:row>
      <xdr:rowOff>180975</xdr:rowOff>
    </xdr:to>
    <xdr:sp macro="" textlink="">
      <xdr:nvSpPr>
        <xdr:cNvPr id="3" name="Accolade ferman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5400675" y="1400175"/>
          <a:ext cx="95250" cy="381000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fr-CH" sz="1100"/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3</xdr:col>
      <xdr:colOff>95250</xdr:colOff>
      <xdr:row>20</xdr:row>
      <xdr:rowOff>180975</xdr:rowOff>
    </xdr:to>
    <xdr:sp macro="" textlink="">
      <xdr:nvSpPr>
        <xdr:cNvPr id="4" name="Accolade ferman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5400675" y="2600325"/>
          <a:ext cx="95250" cy="381000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fr-CH" sz="1100"/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3</xdr:col>
      <xdr:colOff>95250</xdr:colOff>
      <xdr:row>12</xdr:row>
      <xdr:rowOff>180975</xdr:rowOff>
    </xdr:to>
    <xdr:sp macro="" textlink="">
      <xdr:nvSpPr>
        <xdr:cNvPr id="5" name="Accolade fermant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5400675" y="1000125"/>
          <a:ext cx="95250" cy="381000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fr-CH" sz="1100"/>
        </a:p>
      </xdr:txBody>
    </xdr:sp>
    <xdr:clientData/>
  </xdr:twoCellAnchor>
  <xdr:twoCellAnchor editAs="oneCell">
    <xdr:from>
      <xdr:col>0</xdr:col>
      <xdr:colOff>161925</xdr:colOff>
      <xdr:row>0</xdr:row>
      <xdr:rowOff>95250</xdr:rowOff>
    </xdr:from>
    <xdr:to>
      <xdr:col>1</xdr:col>
      <xdr:colOff>295275</xdr:colOff>
      <xdr:row>0</xdr:row>
      <xdr:rowOff>514350</xdr:rowOff>
    </xdr:to>
    <xdr:pic>
      <xdr:nvPicPr>
        <xdr:cNvPr id="7" name="Image 12" descr="StatVD_nouveau.logo_cmjn.png">
          <a:extLst>
            <a:ext uri="{FF2B5EF4-FFF2-40B4-BE49-F238E27FC236}">
              <a16:creationId xmlns:a16="http://schemas.microsoft.com/office/drawing/2014/main" id="{3C86C7FB-9618-4124-97DB-A1A2A3DB5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9525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219075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A0AFB882-04F2-461E-8625-BB2432334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68D62BF4-F60E-4A53-B73E-82EED9BE6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1</xdr:col>
      <xdr:colOff>219075</xdr:colOff>
      <xdr:row>0</xdr:row>
      <xdr:rowOff>485775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3CAB5764-AE91-494F-B1A1-60866CAC2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07D62607-0171-4080-AC79-C76B7B703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B630F729-5DA2-4D75-B699-6D1740EA5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0E570A5F-3CEB-4AF6-A9C7-AF07C55D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B0D44296-7CF2-493E-AFD3-F0A6A82B1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1FF8F327-2259-48AB-890D-04CAD443E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00351780-F56C-47C7-8FD0-EB2B6458F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2ABAEA90-D38A-488B-BE93-31529B23D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FDEA5EAD-EA18-430A-92FA-0E0D64055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5BA37644-6EBC-4482-B8D5-7BA0ACAC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EB1ED5DA-6414-4B95-B873-7E261A340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F83E68FE-863C-415B-9CF4-CD5CF7491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4B7E1E13-B781-4FB1-9213-4CEF37A42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228600</xdr:colOff>
      <xdr:row>0</xdr:row>
      <xdr:rowOff>495300</xdr:rowOff>
    </xdr:to>
    <xdr:pic>
      <xdr:nvPicPr>
        <xdr:cNvPr id="2" name="Image 12" descr="StatVD_nouveau.logo_cmjn.png">
          <a:extLst>
            <a:ext uri="{FF2B5EF4-FFF2-40B4-BE49-F238E27FC236}">
              <a16:creationId xmlns:a16="http://schemas.microsoft.com/office/drawing/2014/main" id="{2D0029FC-25C9-4A91-B6CD-CD5D030AD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971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emePerspStatVD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C14" sqref="C14"/>
    </sheetView>
  </sheetViews>
  <sheetFormatPr baseColWidth="10" defaultRowHeight="12.75" x14ac:dyDescent="0.2"/>
  <cols>
    <col min="1" max="1" width="11" style="13"/>
    <col min="2" max="2" width="16" style="13" bestFit="1" customWidth="1"/>
    <col min="3" max="3" width="43.875" style="13" bestFit="1" customWidth="1"/>
    <col min="4" max="4" width="1.875" style="13" customWidth="1"/>
    <col min="5" max="5" width="32.25" style="13" bestFit="1" customWidth="1"/>
    <col min="6" max="16384" width="11" style="13"/>
  </cols>
  <sheetData>
    <row r="1" spans="1:5" ht="42.95" customHeight="1" x14ac:dyDescent="0.2"/>
    <row r="2" spans="1:5" ht="13.5" thickBot="1" x14ac:dyDescent="0.25">
      <c r="A2" s="35"/>
      <c r="B2" s="35"/>
      <c r="C2" s="35"/>
      <c r="D2" s="35"/>
      <c r="E2" s="35"/>
    </row>
    <row r="4" spans="1:5" ht="15" x14ac:dyDescent="0.25">
      <c r="A4" s="14" t="s">
        <v>50</v>
      </c>
    </row>
    <row r="6" spans="1:5" x14ac:dyDescent="0.2">
      <c r="A6" s="15" t="s">
        <v>31</v>
      </c>
      <c r="B6" s="16"/>
      <c r="C6" s="16"/>
      <c r="D6" s="16"/>
      <c r="E6" s="16"/>
    </row>
    <row r="7" spans="1:5" x14ac:dyDescent="0.2">
      <c r="A7" s="15"/>
      <c r="B7" s="16"/>
      <c r="C7" s="16"/>
      <c r="D7" s="16"/>
      <c r="E7" s="16"/>
    </row>
    <row r="8" spans="1:5" x14ac:dyDescent="0.2">
      <c r="A8" s="17"/>
      <c r="B8" s="16"/>
      <c r="C8" s="16" t="s">
        <v>49</v>
      </c>
      <c r="D8" s="16"/>
      <c r="E8" s="16"/>
    </row>
    <row r="9" spans="1:5" x14ac:dyDescent="0.2">
      <c r="A9" s="18" t="s">
        <v>3</v>
      </c>
      <c r="B9" s="19" t="s">
        <v>4</v>
      </c>
      <c r="C9" s="20" t="s">
        <v>32</v>
      </c>
      <c r="D9" s="20"/>
      <c r="E9" s="21"/>
    </row>
    <row r="10" spans="1:5" x14ac:dyDescent="0.2">
      <c r="A10" s="22" t="s">
        <v>5</v>
      </c>
      <c r="B10" s="23" t="s">
        <v>6</v>
      </c>
      <c r="C10" s="17" t="s">
        <v>33</v>
      </c>
      <c r="D10" s="17"/>
      <c r="E10" s="24"/>
    </row>
    <row r="11" spans="1:5" x14ac:dyDescent="0.2">
      <c r="A11" s="22" t="s">
        <v>7</v>
      </c>
      <c r="B11" s="23" t="s">
        <v>8</v>
      </c>
      <c r="C11" s="17" t="s">
        <v>37</v>
      </c>
      <c r="D11" s="17"/>
      <c r="E11" s="24"/>
    </row>
    <row r="12" spans="1:5" x14ac:dyDescent="0.2">
      <c r="A12" s="22" t="s">
        <v>9</v>
      </c>
      <c r="B12" s="25" t="s">
        <v>10</v>
      </c>
      <c r="C12" s="26" t="s">
        <v>38</v>
      </c>
      <c r="D12" s="17"/>
      <c r="E12" s="77" t="s">
        <v>48</v>
      </c>
    </row>
    <row r="13" spans="1:5" x14ac:dyDescent="0.2">
      <c r="A13" s="22" t="s">
        <v>11</v>
      </c>
      <c r="B13" s="25" t="s">
        <v>12</v>
      </c>
      <c r="C13" s="26" t="s">
        <v>39</v>
      </c>
      <c r="D13" s="17"/>
      <c r="E13" s="78"/>
    </row>
    <row r="14" spans="1:5" x14ac:dyDescent="0.2">
      <c r="A14" s="22" t="s">
        <v>13</v>
      </c>
      <c r="B14" s="25" t="s">
        <v>14</v>
      </c>
      <c r="C14" s="26" t="s">
        <v>40</v>
      </c>
      <c r="D14" s="17"/>
      <c r="E14" s="78" t="s">
        <v>47</v>
      </c>
    </row>
    <row r="15" spans="1:5" x14ac:dyDescent="0.2">
      <c r="A15" s="22" t="s">
        <v>15</v>
      </c>
      <c r="B15" s="25" t="s">
        <v>16</v>
      </c>
      <c r="C15" s="26" t="s">
        <v>41</v>
      </c>
      <c r="D15" s="17"/>
      <c r="E15" s="78"/>
    </row>
    <row r="16" spans="1:5" x14ac:dyDescent="0.2">
      <c r="A16" s="22" t="s">
        <v>17</v>
      </c>
      <c r="B16" s="23" t="s">
        <v>18</v>
      </c>
      <c r="C16" s="17" t="s">
        <v>34</v>
      </c>
      <c r="D16" s="17"/>
      <c r="E16" s="24"/>
    </row>
    <row r="17" spans="1:5" x14ac:dyDescent="0.2">
      <c r="A17" s="22" t="s">
        <v>19</v>
      </c>
      <c r="B17" s="23" t="s">
        <v>20</v>
      </c>
      <c r="C17" s="17" t="s">
        <v>35</v>
      </c>
      <c r="D17" s="17"/>
      <c r="E17" s="24"/>
    </row>
    <row r="18" spans="1:5" x14ac:dyDescent="0.2">
      <c r="A18" s="22" t="s">
        <v>21</v>
      </c>
      <c r="B18" s="23" t="s">
        <v>22</v>
      </c>
      <c r="C18" s="17" t="s">
        <v>36</v>
      </c>
      <c r="D18" s="17"/>
      <c r="E18" s="24"/>
    </row>
    <row r="19" spans="1:5" x14ac:dyDescent="0.2">
      <c r="A19" s="22" t="s">
        <v>23</v>
      </c>
      <c r="B19" s="23" t="s">
        <v>24</v>
      </c>
      <c r="C19" s="17" t="s">
        <v>42</v>
      </c>
      <c r="D19" s="17"/>
      <c r="E19" s="24"/>
    </row>
    <row r="20" spans="1:5" x14ac:dyDescent="0.2">
      <c r="A20" s="22" t="s">
        <v>25</v>
      </c>
      <c r="B20" s="25" t="s">
        <v>26</v>
      </c>
      <c r="C20" s="26" t="s">
        <v>43</v>
      </c>
      <c r="D20" s="17"/>
      <c r="E20" s="77" t="s">
        <v>46</v>
      </c>
    </row>
    <row r="21" spans="1:5" x14ac:dyDescent="0.2">
      <c r="A21" s="22" t="s">
        <v>27</v>
      </c>
      <c r="B21" s="25" t="s">
        <v>28</v>
      </c>
      <c r="C21" s="26" t="s">
        <v>44</v>
      </c>
      <c r="D21" s="17"/>
      <c r="E21" s="78"/>
    </row>
    <row r="22" spans="1:5" x14ac:dyDescent="0.2">
      <c r="A22" s="27" t="s">
        <v>29</v>
      </c>
      <c r="B22" s="28" t="s">
        <v>30</v>
      </c>
      <c r="C22" s="29" t="s">
        <v>45</v>
      </c>
      <c r="D22" s="29"/>
      <c r="E22" s="30"/>
    </row>
  </sheetData>
  <mergeCells count="3">
    <mergeCell ref="E12:E13"/>
    <mergeCell ref="E14:E15"/>
    <mergeCell ref="E20:E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42CC-6139-4183-BF5B-545A6B7784DE}">
  <dimension ref="A1:O27"/>
  <sheetViews>
    <sheetView workbookViewId="0">
      <selection activeCell="F31" sqref="F31"/>
    </sheetView>
  </sheetViews>
  <sheetFormatPr baseColWidth="10" defaultRowHeight="14.25" x14ac:dyDescent="0.2"/>
  <cols>
    <col min="1" max="16384" width="11" style="31"/>
  </cols>
  <sheetData>
    <row r="1" spans="1:15" ht="42.95" customHeight="1" x14ac:dyDescent="0.2"/>
    <row r="2" spans="1:15" ht="15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ht="15" customHeight="1" x14ac:dyDescent="0.2"/>
    <row r="4" spans="1:15" s="14" customFormat="1" ht="15" customHeight="1" x14ac:dyDescent="0.25">
      <c r="A4" s="14" t="s">
        <v>56</v>
      </c>
      <c r="F4" s="14" t="s">
        <v>2</v>
      </c>
    </row>
    <row r="5" spans="1:15" ht="15" customHeight="1" x14ac:dyDescent="0.2"/>
    <row r="6" spans="1:15" ht="24.95" customHeight="1" x14ac:dyDescent="0.2">
      <c r="A6" s="1"/>
      <c r="B6" s="2" t="s">
        <v>4</v>
      </c>
      <c r="C6" s="2" t="s">
        <v>51</v>
      </c>
      <c r="D6" s="2" t="s">
        <v>8</v>
      </c>
      <c r="E6" s="2" t="s">
        <v>10</v>
      </c>
      <c r="F6" s="2" t="s">
        <v>12</v>
      </c>
      <c r="G6" s="2" t="s">
        <v>52</v>
      </c>
      <c r="H6" s="2" t="s">
        <v>16</v>
      </c>
      <c r="I6" s="2" t="s">
        <v>53</v>
      </c>
      <c r="J6" s="2" t="s">
        <v>20</v>
      </c>
      <c r="K6" s="2" t="s">
        <v>22</v>
      </c>
      <c r="L6" s="2" t="s">
        <v>24</v>
      </c>
      <c r="M6" s="2" t="s">
        <v>26</v>
      </c>
      <c r="N6" s="3" t="s">
        <v>28</v>
      </c>
      <c r="O6" s="2" t="s">
        <v>54</v>
      </c>
    </row>
    <row r="7" spans="1:15" ht="15" customHeight="1" x14ac:dyDescent="0.2">
      <c r="A7" s="4">
        <v>2020</v>
      </c>
      <c r="B7" s="36">
        <v>46316</v>
      </c>
      <c r="C7" s="36">
        <v>44642</v>
      </c>
      <c r="D7" s="36">
        <v>46413</v>
      </c>
      <c r="E7" s="36">
        <v>6961</v>
      </c>
      <c r="F7" s="36">
        <v>86201</v>
      </c>
      <c r="G7" s="36">
        <v>140430</v>
      </c>
      <c r="H7" s="36">
        <v>27916</v>
      </c>
      <c r="I7" s="36">
        <v>63434</v>
      </c>
      <c r="J7" s="36">
        <v>84561</v>
      </c>
      <c r="K7" s="36">
        <v>103219</v>
      </c>
      <c r="L7" s="36">
        <v>79078</v>
      </c>
      <c r="M7" s="36">
        <v>4894</v>
      </c>
      <c r="N7" s="37">
        <v>81235</v>
      </c>
      <c r="O7" s="36">
        <v>815300</v>
      </c>
    </row>
    <row r="8" spans="1:15" ht="15" customHeight="1" x14ac:dyDescent="0.2">
      <c r="A8" s="7">
        <v>2021</v>
      </c>
      <c r="B8" s="38">
        <v>46749.37</v>
      </c>
      <c r="C8" s="38">
        <v>45363.6</v>
      </c>
      <c r="D8" s="38">
        <v>47208.3</v>
      </c>
      <c r="E8" s="38">
        <v>7011.42</v>
      </c>
      <c r="F8" s="38">
        <v>87162.34</v>
      </c>
      <c r="G8" s="38">
        <v>141063.98000000001</v>
      </c>
      <c r="H8" s="38">
        <v>28434.23</v>
      </c>
      <c r="I8" s="38">
        <v>64106.96</v>
      </c>
      <c r="J8" s="38">
        <v>85663.86</v>
      </c>
      <c r="K8" s="38">
        <v>104821.39</v>
      </c>
      <c r="L8" s="38">
        <v>79804.039999999994</v>
      </c>
      <c r="M8" s="38">
        <v>4909.37</v>
      </c>
      <c r="N8" s="39">
        <v>81825.75</v>
      </c>
      <c r="O8" s="38">
        <v>824124.6100000001</v>
      </c>
    </row>
    <row r="9" spans="1:15" ht="15" customHeight="1" x14ac:dyDescent="0.2">
      <c r="A9" s="7">
        <v>2022</v>
      </c>
      <c r="B9" s="38">
        <v>47156.47</v>
      </c>
      <c r="C9" s="38">
        <v>46060.29</v>
      </c>
      <c r="D9" s="38">
        <v>47956.63</v>
      </c>
      <c r="E9" s="38">
        <v>7042.95</v>
      </c>
      <c r="F9" s="38">
        <v>88011.09</v>
      </c>
      <c r="G9" s="38">
        <v>141709.87</v>
      </c>
      <c r="H9" s="38">
        <v>28930.67</v>
      </c>
      <c r="I9" s="38">
        <v>64757.26</v>
      </c>
      <c r="J9" s="38">
        <v>86681.36</v>
      </c>
      <c r="K9" s="38">
        <v>106315.96</v>
      </c>
      <c r="L9" s="38">
        <v>80462.320000000007</v>
      </c>
      <c r="M9" s="38">
        <v>4922.04</v>
      </c>
      <c r="N9" s="39">
        <v>82504</v>
      </c>
      <c r="O9" s="38">
        <v>832510.91000000015</v>
      </c>
    </row>
    <row r="10" spans="1:15" ht="15" customHeight="1" x14ac:dyDescent="0.2">
      <c r="A10" s="7">
        <v>2023</v>
      </c>
      <c r="B10" s="38">
        <v>47576.71</v>
      </c>
      <c r="C10" s="38">
        <v>46726.54</v>
      </c>
      <c r="D10" s="38">
        <v>48703.14</v>
      </c>
      <c r="E10" s="38">
        <v>7072.69</v>
      </c>
      <c r="F10" s="38">
        <v>88944.76</v>
      </c>
      <c r="G10" s="38">
        <v>142417.54999999999</v>
      </c>
      <c r="H10" s="38">
        <v>29391.05</v>
      </c>
      <c r="I10" s="38">
        <v>65399.59</v>
      </c>
      <c r="J10" s="38">
        <v>87693.85</v>
      </c>
      <c r="K10" s="38">
        <v>107840.61</v>
      </c>
      <c r="L10" s="38">
        <v>81087.73</v>
      </c>
      <c r="M10" s="38">
        <v>4933.7299999999996</v>
      </c>
      <c r="N10" s="39">
        <v>83269.16</v>
      </c>
      <c r="O10" s="38">
        <v>841057.11</v>
      </c>
    </row>
    <row r="11" spans="1:15" ht="15" customHeight="1" x14ac:dyDescent="0.2">
      <c r="A11" s="7">
        <v>2024</v>
      </c>
      <c r="B11" s="38">
        <v>48024.33</v>
      </c>
      <c r="C11" s="38">
        <v>47383.77</v>
      </c>
      <c r="D11" s="38">
        <v>49436.23</v>
      </c>
      <c r="E11" s="38">
        <v>7101.79</v>
      </c>
      <c r="F11" s="38">
        <v>89934.85</v>
      </c>
      <c r="G11" s="38">
        <v>143184.89000000001</v>
      </c>
      <c r="H11" s="38">
        <v>29832.400000000001</v>
      </c>
      <c r="I11" s="38">
        <v>66031.759999999995</v>
      </c>
      <c r="J11" s="38">
        <v>88711.08</v>
      </c>
      <c r="K11" s="38">
        <v>109361.18</v>
      </c>
      <c r="L11" s="38">
        <v>81707.38</v>
      </c>
      <c r="M11" s="38">
        <v>4944.33</v>
      </c>
      <c r="N11" s="39">
        <v>84101.04</v>
      </c>
      <c r="O11" s="38">
        <v>849755.03</v>
      </c>
    </row>
    <row r="12" spans="1:15" ht="15" customHeight="1" x14ac:dyDescent="0.2">
      <c r="A12" s="7">
        <v>2025</v>
      </c>
      <c r="B12" s="38">
        <v>48490.400000000001</v>
      </c>
      <c r="C12" s="38">
        <v>48033.75</v>
      </c>
      <c r="D12" s="38">
        <v>50155.95</v>
      </c>
      <c r="E12" s="38">
        <v>7130.67</v>
      </c>
      <c r="F12" s="38">
        <v>90967.69</v>
      </c>
      <c r="G12" s="38">
        <v>144017.70000000001</v>
      </c>
      <c r="H12" s="38">
        <v>30260.53</v>
      </c>
      <c r="I12" s="38">
        <v>66664.2</v>
      </c>
      <c r="J12" s="38">
        <v>89708.42</v>
      </c>
      <c r="K12" s="38">
        <v>110898.77</v>
      </c>
      <c r="L12" s="38">
        <v>82335.53</v>
      </c>
      <c r="M12" s="38">
        <v>4954.6000000000004</v>
      </c>
      <c r="N12" s="39">
        <v>84987.44</v>
      </c>
      <c r="O12" s="38">
        <v>858605.65000000014</v>
      </c>
    </row>
    <row r="13" spans="1:15" ht="15" customHeight="1" x14ac:dyDescent="0.2">
      <c r="A13" s="7">
        <v>2026</v>
      </c>
      <c r="B13" s="38">
        <v>48940.22</v>
      </c>
      <c r="C13" s="38">
        <v>48684.160000000003</v>
      </c>
      <c r="D13" s="38">
        <v>50867.57</v>
      </c>
      <c r="E13" s="38">
        <v>7158.62</v>
      </c>
      <c r="F13" s="38">
        <v>91990.3</v>
      </c>
      <c r="G13" s="38">
        <v>144877.32</v>
      </c>
      <c r="H13" s="38">
        <v>30689.75</v>
      </c>
      <c r="I13" s="38">
        <v>67285.16</v>
      </c>
      <c r="J13" s="38">
        <v>90668.14</v>
      </c>
      <c r="K13" s="38">
        <v>112427.34</v>
      </c>
      <c r="L13" s="38">
        <v>82985.919999999998</v>
      </c>
      <c r="M13" s="38">
        <v>4964.38</v>
      </c>
      <c r="N13" s="39">
        <v>85883.65</v>
      </c>
      <c r="O13" s="38">
        <v>867422.53</v>
      </c>
    </row>
    <row r="14" spans="1:15" ht="15" customHeight="1" x14ac:dyDescent="0.2">
      <c r="A14" s="7">
        <v>2027</v>
      </c>
      <c r="B14" s="38">
        <v>49390.01</v>
      </c>
      <c r="C14" s="38">
        <v>49336.95</v>
      </c>
      <c r="D14" s="38">
        <v>51570.080000000002</v>
      </c>
      <c r="E14" s="38">
        <v>7185.43</v>
      </c>
      <c r="F14" s="38">
        <v>92956.98</v>
      </c>
      <c r="G14" s="38">
        <v>145767.97</v>
      </c>
      <c r="H14" s="38">
        <v>31120.43</v>
      </c>
      <c r="I14" s="38">
        <v>67889.72</v>
      </c>
      <c r="J14" s="38">
        <v>91602.29</v>
      </c>
      <c r="K14" s="38">
        <v>113944.21</v>
      </c>
      <c r="L14" s="38">
        <v>83669.36</v>
      </c>
      <c r="M14" s="38">
        <v>4971.82</v>
      </c>
      <c r="N14" s="39">
        <v>86787.27</v>
      </c>
      <c r="O14" s="38">
        <v>876192.5199999999</v>
      </c>
    </row>
    <row r="15" spans="1:15" ht="15" customHeight="1" x14ac:dyDescent="0.2">
      <c r="A15" s="7">
        <v>2028</v>
      </c>
      <c r="B15" s="38">
        <v>49839.63</v>
      </c>
      <c r="C15" s="38">
        <v>49990.02</v>
      </c>
      <c r="D15" s="38">
        <v>52217.02</v>
      </c>
      <c r="E15" s="38">
        <v>7211.39</v>
      </c>
      <c r="F15" s="38">
        <v>93887.61</v>
      </c>
      <c r="G15" s="38">
        <v>146690.89000000001</v>
      </c>
      <c r="H15" s="38">
        <v>31556.02</v>
      </c>
      <c r="I15" s="38">
        <v>68481.740000000005</v>
      </c>
      <c r="J15" s="38">
        <v>92531.88</v>
      </c>
      <c r="K15" s="38">
        <v>115425.82</v>
      </c>
      <c r="L15" s="38">
        <v>84390.07</v>
      </c>
      <c r="M15" s="38">
        <v>4979.76</v>
      </c>
      <c r="N15" s="39">
        <v>87700.33</v>
      </c>
      <c r="O15" s="38">
        <v>884902.18</v>
      </c>
    </row>
    <row r="16" spans="1:15" ht="15" customHeight="1" x14ac:dyDescent="0.2">
      <c r="A16" s="7">
        <v>2029</v>
      </c>
      <c r="B16" s="38">
        <v>50294.66</v>
      </c>
      <c r="C16" s="38">
        <v>50638.38</v>
      </c>
      <c r="D16" s="38">
        <v>52848.33</v>
      </c>
      <c r="E16" s="38">
        <v>7235.85</v>
      </c>
      <c r="F16" s="38">
        <v>94811.08</v>
      </c>
      <c r="G16" s="38">
        <v>147629.75</v>
      </c>
      <c r="H16" s="38">
        <v>31988.82</v>
      </c>
      <c r="I16" s="38">
        <v>69056.63</v>
      </c>
      <c r="J16" s="38">
        <v>93421.78</v>
      </c>
      <c r="K16" s="38">
        <v>116892.63</v>
      </c>
      <c r="L16" s="38">
        <v>85124.13</v>
      </c>
      <c r="M16" s="38">
        <v>4987.2</v>
      </c>
      <c r="N16" s="39">
        <v>88612.34</v>
      </c>
      <c r="O16" s="38">
        <v>893541.58</v>
      </c>
    </row>
    <row r="17" spans="1:15" ht="15" customHeight="1" x14ac:dyDescent="0.2">
      <c r="A17" s="7">
        <v>2030</v>
      </c>
      <c r="B17" s="38">
        <v>50741.66</v>
      </c>
      <c r="C17" s="38">
        <v>51287.26</v>
      </c>
      <c r="D17" s="38">
        <v>53422.94</v>
      </c>
      <c r="E17" s="38">
        <v>7259.49</v>
      </c>
      <c r="F17" s="38">
        <v>95741.63</v>
      </c>
      <c r="G17" s="38">
        <v>148582.97</v>
      </c>
      <c r="H17" s="38">
        <v>32420.55</v>
      </c>
      <c r="I17" s="38">
        <v>69620.97</v>
      </c>
      <c r="J17" s="38">
        <v>94289.38</v>
      </c>
      <c r="K17" s="38">
        <v>118342.54</v>
      </c>
      <c r="L17" s="38">
        <v>85871.79</v>
      </c>
      <c r="M17" s="38">
        <v>4992.8</v>
      </c>
      <c r="N17" s="39">
        <v>89528.66</v>
      </c>
      <c r="O17" s="38">
        <v>902102.64000000013</v>
      </c>
    </row>
    <row r="18" spans="1:15" ht="15" customHeight="1" x14ac:dyDescent="0.2">
      <c r="A18" s="7">
        <v>2031</v>
      </c>
      <c r="B18" s="38">
        <v>51187.7</v>
      </c>
      <c r="C18" s="38">
        <v>51929.15</v>
      </c>
      <c r="D18" s="38">
        <v>53971.03</v>
      </c>
      <c r="E18" s="38">
        <v>7281.85</v>
      </c>
      <c r="F18" s="38">
        <v>96662.53</v>
      </c>
      <c r="G18" s="38">
        <v>149516.26999999999</v>
      </c>
      <c r="H18" s="38">
        <v>32851.81</v>
      </c>
      <c r="I18" s="38">
        <v>70170.539999999994</v>
      </c>
      <c r="J18" s="38">
        <v>95131.04</v>
      </c>
      <c r="K18" s="38">
        <v>119726.37</v>
      </c>
      <c r="L18" s="38">
        <v>86632.21</v>
      </c>
      <c r="M18" s="38">
        <v>4995.1000000000004</v>
      </c>
      <c r="N18" s="39">
        <v>90431.41</v>
      </c>
      <c r="O18" s="38">
        <v>910487.01</v>
      </c>
    </row>
    <row r="19" spans="1:15" ht="15" customHeight="1" x14ac:dyDescent="0.2">
      <c r="A19" s="7">
        <v>2032</v>
      </c>
      <c r="B19" s="38">
        <v>51624.88</v>
      </c>
      <c r="C19" s="38">
        <v>52566.13</v>
      </c>
      <c r="D19" s="38">
        <v>54494.96</v>
      </c>
      <c r="E19" s="38">
        <v>7304.15</v>
      </c>
      <c r="F19" s="38">
        <v>97558.16</v>
      </c>
      <c r="G19" s="38">
        <v>150439.87</v>
      </c>
      <c r="H19" s="38">
        <v>33280.68</v>
      </c>
      <c r="I19" s="38">
        <v>70690.539999999994</v>
      </c>
      <c r="J19" s="38">
        <v>95938.94</v>
      </c>
      <c r="K19" s="38">
        <v>121076.17</v>
      </c>
      <c r="L19" s="38">
        <v>87398.83</v>
      </c>
      <c r="M19" s="38">
        <v>4994.62</v>
      </c>
      <c r="N19" s="39">
        <v>91321.08</v>
      </c>
      <c r="O19" s="38">
        <v>918689.01</v>
      </c>
    </row>
    <row r="20" spans="1:15" ht="15" customHeight="1" x14ac:dyDescent="0.2">
      <c r="A20" s="7">
        <v>2033</v>
      </c>
      <c r="B20" s="38">
        <v>52050.3</v>
      </c>
      <c r="C20" s="38">
        <v>53192.959999999999</v>
      </c>
      <c r="D20" s="38">
        <v>54986.04</v>
      </c>
      <c r="E20" s="38">
        <v>7324.14</v>
      </c>
      <c r="F20" s="38">
        <v>98443.79</v>
      </c>
      <c r="G20" s="38">
        <v>151351.48000000001</v>
      </c>
      <c r="H20" s="38">
        <v>33708.449999999997</v>
      </c>
      <c r="I20" s="38">
        <v>71181.25</v>
      </c>
      <c r="J20" s="38">
        <v>96731.83</v>
      </c>
      <c r="K20" s="38">
        <v>122349.73</v>
      </c>
      <c r="L20" s="38">
        <v>88187.74</v>
      </c>
      <c r="M20" s="38">
        <v>4993.8</v>
      </c>
      <c r="N20" s="39">
        <v>92204.77</v>
      </c>
      <c r="O20" s="38">
        <v>926706.28000000014</v>
      </c>
    </row>
    <row r="21" spans="1:15" ht="15" customHeight="1" x14ac:dyDescent="0.2">
      <c r="A21" s="7">
        <v>2034</v>
      </c>
      <c r="B21" s="38">
        <v>52465.97</v>
      </c>
      <c r="C21" s="38">
        <v>53812.71</v>
      </c>
      <c r="D21" s="38">
        <v>55457.52</v>
      </c>
      <c r="E21" s="38">
        <v>7343.49</v>
      </c>
      <c r="F21" s="38">
        <v>99292.54</v>
      </c>
      <c r="G21" s="38">
        <v>152254.78</v>
      </c>
      <c r="H21" s="38">
        <v>34133.839999999997</v>
      </c>
      <c r="I21" s="38">
        <v>71654.710000000006</v>
      </c>
      <c r="J21" s="38">
        <v>97457.77</v>
      </c>
      <c r="K21" s="38">
        <v>123601.92</v>
      </c>
      <c r="L21" s="38">
        <v>88996.99</v>
      </c>
      <c r="M21" s="38">
        <v>4990.28</v>
      </c>
      <c r="N21" s="39">
        <v>93077.96</v>
      </c>
      <c r="O21" s="38">
        <v>934540.48</v>
      </c>
    </row>
    <row r="22" spans="1:15" ht="15" customHeight="1" x14ac:dyDescent="0.2">
      <c r="A22" s="7">
        <v>2035</v>
      </c>
      <c r="B22" s="38">
        <v>52869.49</v>
      </c>
      <c r="C22" s="38">
        <v>54404.6</v>
      </c>
      <c r="D22" s="38">
        <v>55893.2</v>
      </c>
      <c r="E22" s="38">
        <v>7361.84</v>
      </c>
      <c r="F22" s="38">
        <v>100122.36</v>
      </c>
      <c r="G22" s="38">
        <v>153135.78</v>
      </c>
      <c r="H22" s="38">
        <v>34557.29</v>
      </c>
      <c r="I22" s="38">
        <v>72105.36</v>
      </c>
      <c r="J22" s="38">
        <v>98148.4</v>
      </c>
      <c r="K22" s="38">
        <v>124839.4</v>
      </c>
      <c r="L22" s="38">
        <v>89827.55</v>
      </c>
      <c r="M22" s="38">
        <v>4985.6499999999996</v>
      </c>
      <c r="N22" s="39">
        <v>93945.88</v>
      </c>
      <c r="O22" s="38">
        <v>942196.80000000016</v>
      </c>
    </row>
    <row r="23" spans="1:15" ht="15" customHeight="1" x14ac:dyDescent="0.2">
      <c r="A23" s="7">
        <v>2036</v>
      </c>
      <c r="B23" s="38">
        <v>53266.73</v>
      </c>
      <c r="C23" s="38">
        <v>54987.34</v>
      </c>
      <c r="D23" s="38">
        <v>56315.81</v>
      </c>
      <c r="E23" s="38">
        <v>7378.09</v>
      </c>
      <c r="F23" s="38">
        <v>100936.34</v>
      </c>
      <c r="G23" s="38">
        <v>153998.67000000001</v>
      </c>
      <c r="H23" s="38">
        <v>34981.269999999997</v>
      </c>
      <c r="I23" s="38">
        <v>72520.3</v>
      </c>
      <c r="J23" s="38">
        <v>98796.87</v>
      </c>
      <c r="K23" s="38">
        <v>126052.77</v>
      </c>
      <c r="L23" s="38">
        <v>90667.79</v>
      </c>
      <c r="M23" s="38">
        <v>4978.83</v>
      </c>
      <c r="N23" s="39">
        <v>94801.56</v>
      </c>
      <c r="O23" s="38">
        <v>949682.37000000011</v>
      </c>
    </row>
    <row r="24" spans="1:15" ht="15" customHeight="1" x14ac:dyDescent="0.2">
      <c r="A24" s="7">
        <v>2037</v>
      </c>
      <c r="B24" s="38">
        <v>53653.88</v>
      </c>
      <c r="C24" s="38">
        <v>55548.15</v>
      </c>
      <c r="D24" s="38">
        <v>56741.65</v>
      </c>
      <c r="E24" s="38">
        <v>7393.57</v>
      </c>
      <c r="F24" s="38">
        <v>101757.49</v>
      </c>
      <c r="G24" s="38">
        <v>154808.46</v>
      </c>
      <c r="H24" s="38">
        <v>35402.239999999998</v>
      </c>
      <c r="I24" s="38">
        <v>72923.789999999994</v>
      </c>
      <c r="J24" s="38">
        <v>99445.8</v>
      </c>
      <c r="K24" s="38">
        <v>127264.73</v>
      </c>
      <c r="L24" s="38">
        <v>91469.52</v>
      </c>
      <c r="M24" s="38">
        <v>4970.25</v>
      </c>
      <c r="N24" s="39">
        <v>95626.53</v>
      </c>
      <c r="O24" s="38">
        <v>957006.06</v>
      </c>
    </row>
    <row r="25" spans="1:15" ht="15" customHeight="1" x14ac:dyDescent="0.2">
      <c r="A25" s="7">
        <v>2038</v>
      </c>
      <c r="B25" s="38">
        <v>54026.239999999998</v>
      </c>
      <c r="C25" s="38">
        <v>56093.37</v>
      </c>
      <c r="D25" s="38">
        <v>57157.14</v>
      </c>
      <c r="E25" s="38">
        <v>7407.03</v>
      </c>
      <c r="F25" s="38">
        <v>102573.58</v>
      </c>
      <c r="G25" s="38">
        <v>155592.20000000001</v>
      </c>
      <c r="H25" s="38">
        <v>35821.78</v>
      </c>
      <c r="I25" s="38">
        <v>73316.77</v>
      </c>
      <c r="J25" s="38">
        <v>100062.66</v>
      </c>
      <c r="K25" s="38">
        <v>128454.05</v>
      </c>
      <c r="L25" s="38">
        <v>92272.45</v>
      </c>
      <c r="M25" s="38">
        <v>4960.1499999999996</v>
      </c>
      <c r="N25" s="39">
        <v>96439.73</v>
      </c>
      <c r="O25" s="38">
        <v>964177.15</v>
      </c>
    </row>
    <row r="26" spans="1:15" ht="15" customHeight="1" x14ac:dyDescent="0.2">
      <c r="A26" s="7">
        <v>2039</v>
      </c>
      <c r="B26" s="38">
        <v>54385.82</v>
      </c>
      <c r="C26" s="38">
        <v>56630.73</v>
      </c>
      <c r="D26" s="38">
        <v>57550.2</v>
      </c>
      <c r="E26" s="38">
        <v>7418.96</v>
      </c>
      <c r="F26" s="38">
        <v>103373.73</v>
      </c>
      <c r="G26" s="38">
        <v>156348.29</v>
      </c>
      <c r="H26" s="38">
        <v>36242.89</v>
      </c>
      <c r="I26" s="38">
        <v>73660.11</v>
      </c>
      <c r="J26" s="38">
        <v>100691.48</v>
      </c>
      <c r="K26" s="38">
        <v>129638.98</v>
      </c>
      <c r="L26" s="38">
        <v>93073.35</v>
      </c>
      <c r="M26" s="38">
        <v>4949.01</v>
      </c>
      <c r="N26" s="39">
        <v>97240.14</v>
      </c>
      <c r="O26" s="38">
        <v>971203.69</v>
      </c>
    </row>
    <row r="27" spans="1:15" ht="15" customHeight="1" x14ac:dyDescent="0.2">
      <c r="A27" s="10">
        <v>2040</v>
      </c>
      <c r="B27" s="40">
        <v>54736.01</v>
      </c>
      <c r="C27" s="40">
        <v>57160.73</v>
      </c>
      <c r="D27" s="40">
        <v>57911.57</v>
      </c>
      <c r="E27" s="40">
        <v>7429.15</v>
      </c>
      <c r="F27" s="40">
        <v>104167.81</v>
      </c>
      <c r="G27" s="40">
        <v>157077.67000000001</v>
      </c>
      <c r="H27" s="40">
        <v>36664.800000000003</v>
      </c>
      <c r="I27" s="40">
        <v>73994.899999999994</v>
      </c>
      <c r="J27" s="40">
        <v>101298.3</v>
      </c>
      <c r="K27" s="40">
        <v>130815.37</v>
      </c>
      <c r="L27" s="40">
        <v>93872.73</v>
      </c>
      <c r="M27" s="40">
        <v>4936.43</v>
      </c>
      <c r="N27" s="41">
        <v>98026.11</v>
      </c>
      <c r="O27" s="40">
        <v>978091.58000000007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A7DE-8645-47AB-87CE-52DCE863344B}">
  <dimension ref="A1:O27"/>
  <sheetViews>
    <sheetView workbookViewId="0">
      <selection activeCell="R20" sqref="R20"/>
    </sheetView>
  </sheetViews>
  <sheetFormatPr baseColWidth="10" defaultRowHeight="15.75" x14ac:dyDescent="0.25"/>
  <cols>
    <col min="1" max="16384" width="11" style="32"/>
  </cols>
  <sheetData>
    <row r="1" spans="1:15" ht="42.95" customHeight="1" x14ac:dyDescent="0.25"/>
    <row r="2" spans="1:15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ht="15" customHeight="1" x14ac:dyDescent="0.25"/>
    <row r="4" spans="1:15" ht="15" customHeight="1" x14ac:dyDescent="0.25">
      <c r="A4" s="14" t="s">
        <v>56</v>
      </c>
      <c r="B4" s="14"/>
      <c r="C4" s="14"/>
      <c r="D4" s="14"/>
      <c r="E4" s="14"/>
      <c r="F4" s="14" t="s">
        <v>57</v>
      </c>
      <c r="G4" s="14"/>
    </row>
    <row r="5" spans="1:15" ht="15" customHeight="1" x14ac:dyDescent="0.25"/>
    <row r="6" spans="1:15" ht="24.95" customHeight="1" x14ac:dyDescent="0.25">
      <c r="A6" s="1"/>
      <c r="B6" s="2" t="s">
        <v>4</v>
      </c>
      <c r="C6" s="2" t="s">
        <v>51</v>
      </c>
      <c r="D6" s="2" t="s">
        <v>8</v>
      </c>
      <c r="E6" s="2" t="s">
        <v>10</v>
      </c>
      <c r="F6" s="2" t="s">
        <v>12</v>
      </c>
      <c r="G6" s="2" t="s">
        <v>52</v>
      </c>
      <c r="H6" s="2" t="s">
        <v>16</v>
      </c>
      <c r="I6" s="2" t="s">
        <v>53</v>
      </c>
      <c r="J6" s="2" t="s">
        <v>20</v>
      </c>
      <c r="K6" s="2" t="s">
        <v>22</v>
      </c>
      <c r="L6" s="2" t="s">
        <v>24</v>
      </c>
      <c r="M6" s="2" t="s">
        <v>26</v>
      </c>
      <c r="N6" s="3" t="s">
        <v>28</v>
      </c>
      <c r="O6" s="2" t="s">
        <v>54</v>
      </c>
    </row>
    <row r="7" spans="1:15" ht="15" customHeight="1" x14ac:dyDescent="0.25">
      <c r="A7" s="4">
        <v>2020</v>
      </c>
      <c r="B7" s="5">
        <v>46316</v>
      </c>
      <c r="C7" s="5">
        <v>44642</v>
      </c>
      <c r="D7" s="5">
        <v>46413</v>
      </c>
      <c r="E7" s="5">
        <v>6961</v>
      </c>
      <c r="F7" s="5">
        <v>86201</v>
      </c>
      <c r="G7" s="5">
        <v>140430</v>
      </c>
      <c r="H7" s="5">
        <v>27916</v>
      </c>
      <c r="I7" s="5">
        <v>63434</v>
      </c>
      <c r="J7" s="5">
        <v>84561</v>
      </c>
      <c r="K7" s="5">
        <v>103219</v>
      </c>
      <c r="L7" s="5">
        <v>79078</v>
      </c>
      <c r="M7" s="5">
        <v>4894</v>
      </c>
      <c r="N7" s="6">
        <v>81235</v>
      </c>
      <c r="O7" s="5">
        <v>815300</v>
      </c>
    </row>
    <row r="8" spans="1:15" ht="15" customHeight="1" x14ac:dyDescent="0.25">
      <c r="A8" s="7">
        <v>2021</v>
      </c>
      <c r="B8" s="8">
        <v>46818.12</v>
      </c>
      <c r="C8" s="8">
        <v>45417.78</v>
      </c>
      <c r="D8" s="8">
        <v>47218.53</v>
      </c>
      <c r="E8" s="8">
        <v>7017.67</v>
      </c>
      <c r="F8" s="8">
        <v>87236.25</v>
      </c>
      <c r="G8" s="8">
        <v>141615.79</v>
      </c>
      <c r="H8" s="8">
        <v>28446.78</v>
      </c>
      <c r="I8" s="8">
        <v>64137.64</v>
      </c>
      <c r="J8" s="8">
        <v>85676.25</v>
      </c>
      <c r="K8" s="8">
        <v>104791.3</v>
      </c>
      <c r="L8" s="8">
        <v>79948.12</v>
      </c>
      <c r="M8" s="8">
        <v>4911.29</v>
      </c>
      <c r="N8" s="9">
        <v>81935.38</v>
      </c>
      <c r="O8" s="8">
        <v>825170.90000000014</v>
      </c>
    </row>
    <row r="9" spans="1:15" ht="15" customHeight="1" x14ac:dyDescent="0.25">
      <c r="A9" s="7">
        <v>2022</v>
      </c>
      <c r="B9" s="8">
        <v>47314.98</v>
      </c>
      <c r="C9" s="8">
        <v>46191.56</v>
      </c>
      <c r="D9" s="8">
        <v>48027.89</v>
      </c>
      <c r="E9" s="8">
        <v>7056.92</v>
      </c>
      <c r="F9" s="8">
        <v>88179.19</v>
      </c>
      <c r="G9" s="8">
        <v>142842.76</v>
      </c>
      <c r="H9" s="8">
        <v>28961.69</v>
      </c>
      <c r="I9" s="8">
        <v>64836.04</v>
      </c>
      <c r="J9" s="8">
        <v>86733.18</v>
      </c>
      <c r="K9" s="8">
        <v>106302.55</v>
      </c>
      <c r="L9" s="8">
        <v>80736.66</v>
      </c>
      <c r="M9" s="8">
        <v>4927.68</v>
      </c>
      <c r="N9" s="9">
        <v>82740.75</v>
      </c>
      <c r="O9" s="8">
        <v>834851.85000000009</v>
      </c>
    </row>
    <row r="10" spans="1:15" ht="15" customHeight="1" x14ac:dyDescent="0.25">
      <c r="A10" s="7">
        <v>2023</v>
      </c>
      <c r="B10" s="8">
        <v>47853.02</v>
      </c>
      <c r="C10" s="8">
        <v>46950.26</v>
      </c>
      <c r="D10" s="8">
        <v>48842.49</v>
      </c>
      <c r="E10" s="8">
        <v>7094.96</v>
      </c>
      <c r="F10" s="8">
        <v>89211.13</v>
      </c>
      <c r="G10" s="8">
        <v>144164.70000000001</v>
      </c>
      <c r="H10" s="8">
        <v>29445.64</v>
      </c>
      <c r="I10" s="8">
        <v>65533.97</v>
      </c>
      <c r="J10" s="8">
        <v>87808.92</v>
      </c>
      <c r="K10" s="8">
        <v>107853.49</v>
      </c>
      <c r="L10" s="8">
        <v>81504.210000000006</v>
      </c>
      <c r="M10" s="8">
        <v>4944.34</v>
      </c>
      <c r="N10" s="9">
        <v>83663.06</v>
      </c>
      <c r="O10" s="8">
        <v>844870.19</v>
      </c>
    </row>
    <row r="11" spans="1:15" ht="15" customHeight="1" x14ac:dyDescent="0.25">
      <c r="A11" s="7">
        <v>2024</v>
      </c>
      <c r="B11" s="8">
        <v>48404.75</v>
      </c>
      <c r="C11" s="8">
        <v>47705.37</v>
      </c>
      <c r="D11" s="8">
        <v>49651.11</v>
      </c>
      <c r="E11" s="8">
        <v>7132.58</v>
      </c>
      <c r="F11" s="8">
        <v>90310.21</v>
      </c>
      <c r="G11" s="8">
        <v>145581.06</v>
      </c>
      <c r="H11" s="8">
        <v>29916.04</v>
      </c>
      <c r="I11" s="8">
        <v>66233.83</v>
      </c>
      <c r="J11" s="8">
        <v>88912.86</v>
      </c>
      <c r="K11" s="8">
        <v>109451.29</v>
      </c>
      <c r="L11" s="8">
        <v>82279.960000000006</v>
      </c>
      <c r="M11" s="8">
        <v>4961.1400000000003</v>
      </c>
      <c r="N11" s="9">
        <v>84681.13</v>
      </c>
      <c r="O11" s="8">
        <v>855221.33</v>
      </c>
    </row>
    <row r="12" spans="1:15" ht="15" customHeight="1" x14ac:dyDescent="0.25">
      <c r="A12" s="7">
        <v>2025</v>
      </c>
      <c r="B12" s="8">
        <v>48985.34</v>
      </c>
      <c r="C12" s="8">
        <v>48459.13</v>
      </c>
      <c r="D12" s="8">
        <v>50450.15</v>
      </c>
      <c r="E12" s="8">
        <v>7169.79</v>
      </c>
      <c r="F12" s="8">
        <v>91464.960000000006</v>
      </c>
      <c r="G12" s="8">
        <v>147093.76000000001</v>
      </c>
      <c r="H12" s="8">
        <v>30380.71</v>
      </c>
      <c r="I12" s="8">
        <v>66942.31</v>
      </c>
      <c r="J12" s="8">
        <v>90007.16</v>
      </c>
      <c r="K12" s="8">
        <v>111096.45</v>
      </c>
      <c r="L12" s="8">
        <v>83076.570000000007</v>
      </c>
      <c r="M12" s="8">
        <v>4978.37</v>
      </c>
      <c r="N12" s="9">
        <v>85780.23</v>
      </c>
      <c r="O12" s="8">
        <v>865884.93</v>
      </c>
    </row>
    <row r="13" spans="1:15" ht="15" customHeight="1" x14ac:dyDescent="0.25">
      <c r="A13" s="7">
        <v>2026</v>
      </c>
      <c r="B13" s="8">
        <v>49557.69</v>
      </c>
      <c r="C13" s="8">
        <v>49216.17</v>
      </c>
      <c r="D13" s="8">
        <v>51234.41</v>
      </c>
      <c r="E13" s="8">
        <v>7205.78</v>
      </c>
      <c r="F13" s="8">
        <v>92631.99</v>
      </c>
      <c r="G13" s="8">
        <v>148645.97</v>
      </c>
      <c r="H13" s="8">
        <v>30853.86</v>
      </c>
      <c r="I13" s="8">
        <v>67649.710000000006</v>
      </c>
      <c r="J13" s="8">
        <v>91070.27</v>
      </c>
      <c r="K13" s="8">
        <v>112764.47</v>
      </c>
      <c r="L13" s="8">
        <v>83897.63</v>
      </c>
      <c r="M13" s="8">
        <v>4995.3599999999997</v>
      </c>
      <c r="N13" s="9">
        <v>86903.13</v>
      </c>
      <c r="O13" s="8">
        <v>876626.44</v>
      </c>
    </row>
    <row r="14" spans="1:15" ht="15" customHeight="1" x14ac:dyDescent="0.25">
      <c r="A14" s="7">
        <v>2027</v>
      </c>
      <c r="B14" s="8">
        <v>50135.97</v>
      </c>
      <c r="C14" s="8">
        <v>49975.75</v>
      </c>
      <c r="D14" s="8">
        <v>51998.5</v>
      </c>
      <c r="E14" s="8">
        <v>7240.71</v>
      </c>
      <c r="F14" s="8">
        <v>93761.62</v>
      </c>
      <c r="G14" s="8">
        <v>150238.97</v>
      </c>
      <c r="H14" s="8">
        <v>31336.06</v>
      </c>
      <c r="I14" s="8">
        <v>68351.02</v>
      </c>
      <c r="J14" s="8">
        <v>92137.58</v>
      </c>
      <c r="K14" s="8">
        <v>114453.65</v>
      </c>
      <c r="L14" s="8">
        <v>84747.41</v>
      </c>
      <c r="M14" s="8">
        <v>5011.12</v>
      </c>
      <c r="N14" s="9">
        <v>88047.06</v>
      </c>
      <c r="O14" s="8">
        <v>887435.42000000016</v>
      </c>
    </row>
    <row r="15" spans="1:15" ht="15" customHeight="1" x14ac:dyDescent="0.25">
      <c r="A15" s="7">
        <v>2028</v>
      </c>
      <c r="B15" s="8">
        <v>50720.81</v>
      </c>
      <c r="C15" s="8">
        <v>50735.94</v>
      </c>
      <c r="D15" s="8">
        <v>52739.39</v>
      </c>
      <c r="E15" s="8">
        <v>7275.11</v>
      </c>
      <c r="F15" s="8">
        <v>94826.76</v>
      </c>
      <c r="G15" s="8">
        <v>151876</v>
      </c>
      <c r="H15" s="8">
        <v>31829.759999999998</v>
      </c>
      <c r="I15" s="8">
        <v>69051.05</v>
      </c>
      <c r="J15" s="8">
        <v>93211.35</v>
      </c>
      <c r="K15" s="8">
        <v>116157.29</v>
      </c>
      <c r="L15" s="8">
        <v>85633.38</v>
      </c>
      <c r="M15" s="8">
        <v>5027.18</v>
      </c>
      <c r="N15" s="9">
        <v>89216.9</v>
      </c>
      <c r="O15" s="8">
        <v>898300.92000000016</v>
      </c>
    </row>
    <row r="16" spans="1:15" ht="15" customHeight="1" x14ac:dyDescent="0.25">
      <c r="A16" s="7">
        <v>2029</v>
      </c>
      <c r="B16" s="8">
        <v>51314.44</v>
      </c>
      <c r="C16" s="8">
        <v>51488.94</v>
      </c>
      <c r="D16" s="8">
        <v>53436.17</v>
      </c>
      <c r="E16" s="8">
        <v>7308.53</v>
      </c>
      <c r="F16" s="8">
        <v>95893.38</v>
      </c>
      <c r="G16" s="8">
        <v>153556.82999999999</v>
      </c>
      <c r="H16" s="8">
        <v>32330.82</v>
      </c>
      <c r="I16" s="8">
        <v>69750.64</v>
      </c>
      <c r="J16" s="8">
        <v>94273.57</v>
      </c>
      <c r="K16" s="8">
        <v>117851.8</v>
      </c>
      <c r="L16" s="8">
        <v>86554.09</v>
      </c>
      <c r="M16" s="8">
        <v>5042.57</v>
      </c>
      <c r="N16" s="9">
        <v>90413.46</v>
      </c>
      <c r="O16" s="8">
        <v>909215.24</v>
      </c>
    </row>
    <row r="17" spans="1:15" ht="15" customHeight="1" x14ac:dyDescent="0.25">
      <c r="A17" s="7">
        <v>2030</v>
      </c>
      <c r="B17" s="8">
        <v>51907.839999999997</v>
      </c>
      <c r="C17" s="8">
        <v>52239.29</v>
      </c>
      <c r="D17" s="8">
        <v>54078.33</v>
      </c>
      <c r="E17" s="8">
        <v>7341.4</v>
      </c>
      <c r="F17" s="8">
        <v>96969.88</v>
      </c>
      <c r="G17" s="8">
        <v>155271.26</v>
      </c>
      <c r="H17" s="8">
        <v>32840.230000000003</v>
      </c>
      <c r="I17" s="8">
        <v>70450.73</v>
      </c>
      <c r="J17" s="8">
        <v>95312.73</v>
      </c>
      <c r="K17" s="8">
        <v>119575.62</v>
      </c>
      <c r="L17" s="8">
        <v>87495.87</v>
      </c>
      <c r="M17" s="8">
        <v>5056.76</v>
      </c>
      <c r="N17" s="9">
        <v>91632.83</v>
      </c>
      <c r="O17" s="8">
        <v>920172.7699999999</v>
      </c>
    </row>
    <row r="18" spans="1:15" ht="15" customHeight="1" x14ac:dyDescent="0.25">
      <c r="A18" s="7">
        <v>2031</v>
      </c>
      <c r="B18" s="8">
        <v>52497.99</v>
      </c>
      <c r="C18" s="8">
        <v>52980.91</v>
      </c>
      <c r="D18" s="8">
        <v>54693.69</v>
      </c>
      <c r="E18" s="8">
        <v>7372.76</v>
      </c>
      <c r="F18" s="8">
        <v>98038.86</v>
      </c>
      <c r="G18" s="8">
        <v>156974.59</v>
      </c>
      <c r="H18" s="8">
        <v>33355.21</v>
      </c>
      <c r="I18" s="8">
        <v>71142.83</v>
      </c>
      <c r="J18" s="8">
        <v>96337.5</v>
      </c>
      <c r="K18" s="8">
        <v>121259.37</v>
      </c>
      <c r="L18" s="8">
        <v>88448.9</v>
      </c>
      <c r="M18" s="8">
        <v>5068.5600000000004</v>
      </c>
      <c r="N18" s="9">
        <v>92850.240000000005</v>
      </c>
      <c r="O18" s="8">
        <v>931021.41000000015</v>
      </c>
    </row>
    <row r="19" spans="1:15" ht="15" customHeight="1" x14ac:dyDescent="0.25">
      <c r="A19" s="7">
        <v>2032</v>
      </c>
      <c r="B19" s="8">
        <v>53081.26</v>
      </c>
      <c r="C19" s="8">
        <v>53716.11</v>
      </c>
      <c r="D19" s="8">
        <v>55278.68</v>
      </c>
      <c r="E19" s="8">
        <v>7403.12</v>
      </c>
      <c r="F19" s="8">
        <v>99085.89</v>
      </c>
      <c r="G19" s="8">
        <v>158673.76999999999</v>
      </c>
      <c r="H19" s="8">
        <v>33873.5</v>
      </c>
      <c r="I19" s="8">
        <v>71820</v>
      </c>
      <c r="J19" s="8">
        <v>97343.87</v>
      </c>
      <c r="K19" s="8">
        <v>122930.81</v>
      </c>
      <c r="L19" s="8">
        <v>89405.56</v>
      </c>
      <c r="M19" s="8">
        <v>5078.3900000000003</v>
      </c>
      <c r="N19" s="9">
        <v>94065.05</v>
      </c>
      <c r="O19" s="8">
        <v>941756.01000000013</v>
      </c>
    </row>
    <row r="20" spans="1:15" ht="15" customHeight="1" x14ac:dyDescent="0.25">
      <c r="A20" s="7">
        <v>2033</v>
      </c>
      <c r="B20" s="8">
        <v>53665.39</v>
      </c>
      <c r="C20" s="8">
        <v>54445.21</v>
      </c>
      <c r="D20" s="8">
        <v>55845.95</v>
      </c>
      <c r="E20" s="8">
        <v>7431.73</v>
      </c>
      <c r="F20" s="8">
        <v>100124.11</v>
      </c>
      <c r="G20" s="8">
        <v>160388.72</v>
      </c>
      <c r="H20" s="8">
        <v>34396.769999999997</v>
      </c>
      <c r="I20" s="8">
        <v>72485.03</v>
      </c>
      <c r="J20" s="8">
        <v>98288.61</v>
      </c>
      <c r="K20" s="8">
        <v>124504.99</v>
      </c>
      <c r="L20" s="8">
        <v>90414.73</v>
      </c>
      <c r="M20" s="8">
        <v>5087.76</v>
      </c>
      <c r="N20" s="9">
        <v>95295.6</v>
      </c>
      <c r="O20" s="8">
        <v>952374.6</v>
      </c>
    </row>
    <row r="21" spans="1:15" ht="15" customHeight="1" x14ac:dyDescent="0.25">
      <c r="A21" s="7">
        <v>2034</v>
      </c>
      <c r="B21" s="8">
        <v>54244.44</v>
      </c>
      <c r="C21" s="8">
        <v>55146.39</v>
      </c>
      <c r="D21" s="8">
        <v>56392.99</v>
      </c>
      <c r="E21" s="8">
        <v>7459.76</v>
      </c>
      <c r="F21" s="8">
        <v>101149.2</v>
      </c>
      <c r="G21" s="8">
        <v>162104.14000000001</v>
      </c>
      <c r="H21" s="8">
        <v>34921.86</v>
      </c>
      <c r="I21" s="8">
        <v>73122.080000000002</v>
      </c>
      <c r="J21" s="8">
        <v>99213.29</v>
      </c>
      <c r="K21" s="8">
        <v>126062.08</v>
      </c>
      <c r="L21" s="8">
        <v>91442.9</v>
      </c>
      <c r="M21" s="8">
        <v>5094.8900000000003</v>
      </c>
      <c r="N21" s="9">
        <v>96524.82</v>
      </c>
      <c r="O21" s="8">
        <v>962878.84000000008</v>
      </c>
    </row>
    <row r="22" spans="1:15" ht="15" customHeight="1" x14ac:dyDescent="0.25">
      <c r="A22" s="7">
        <v>2035</v>
      </c>
      <c r="B22" s="8">
        <v>54813.16</v>
      </c>
      <c r="C22" s="8">
        <v>55832.25</v>
      </c>
      <c r="D22" s="8">
        <v>56909.32</v>
      </c>
      <c r="E22" s="8">
        <v>7486.98</v>
      </c>
      <c r="F22" s="8">
        <v>102174.6</v>
      </c>
      <c r="G22" s="8">
        <v>163812.62</v>
      </c>
      <c r="H22" s="8">
        <v>35449.01</v>
      </c>
      <c r="I22" s="8">
        <v>73730.58</v>
      </c>
      <c r="J22" s="8">
        <v>100109.28</v>
      </c>
      <c r="K22" s="8">
        <v>127602.29</v>
      </c>
      <c r="L22" s="8">
        <v>92496.01</v>
      </c>
      <c r="M22" s="8">
        <v>5100.74</v>
      </c>
      <c r="N22" s="9">
        <v>97756.79</v>
      </c>
      <c r="O22" s="8">
        <v>973273.63000000012</v>
      </c>
    </row>
    <row r="23" spans="1:15" ht="15" customHeight="1" x14ac:dyDescent="0.25">
      <c r="A23" s="7">
        <v>2036</v>
      </c>
      <c r="B23" s="8">
        <v>55373.53</v>
      </c>
      <c r="C23" s="8">
        <v>56508.04</v>
      </c>
      <c r="D23" s="8">
        <v>57397.760000000002</v>
      </c>
      <c r="E23" s="8">
        <v>7513.33</v>
      </c>
      <c r="F23" s="8">
        <v>103215.6</v>
      </c>
      <c r="G23" s="8">
        <v>165547.62</v>
      </c>
      <c r="H23" s="8">
        <v>35981.19</v>
      </c>
      <c r="I23" s="8">
        <v>74299.39</v>
      </c>
      <c r="J23" s="8">
        <v>100897.57</v>
      </c>
      <c r="K23" s="8">
        <v>129122.87</v>
      </c>
      <c r="L23" s="8">
        <v>93605.96</v>
      </c>
      <c r="M23" s="8">
        <v>5104.78</v>
      </c>
      <c r="N23" s="9">
        <v>98997.82</v>
      </c>
      <c r="O23" s="8">
        <v>983565.46</v>
      </c>
    </row>
    <row r="24" spans="1:15" ht="15" customHeight="1" x14ac:dyDescent="0.25">
      <c r="A24" s="7">
        <v>2037</v>
      </c>
      <c r="B24" s="8">
        <v>55941.58</v>
      </c>
      <c r="C24" s="8">
        <v>57176.83</v>
      </c>
      <c r="D24" s="8">
        <v>57914.66</v>
      </c>
      <c r="E24" s="8">
        <v>7539.36</v>
      </c>
      <c r="F24" s="8">
        <v>104287.51</v>
      </c>
      <c r="G24" s="8">
        <v>167254.54</v>
      </c>
      <c r="H24" s="8">
        <v>36512.65</v>
      </c>
      <c r="I24" s="8">
        <v>74820.490000000005</v>
      </c>
      <c r="J24" s="8">
        <v>101685.88</v>
      </c>
      <c r="K24" s="8">
        <v>130607.37</v>
      </c>
      <c r="L24" s="8">
        <v>94693.88</v>
      </c>
      <c r="M24" s="8">
        <v>5107.33</v>
      </c>
      <c r="N24" s="9">
        <v>100220.09</v>
      </c>
      <c r="O24" s="8">
        <v>993762.16999999993</v>
      </c>
    </row>
    <row r="25" spans="1:15" ht="15" customHeight="1" x14ac:dyDescent="0.25">
      <c r="A25" s="7">
        <v>2038</v>
      </c>
      <c r="B25" s="8">
        <v>56503.9</v>
      </c>
      <c r="C25" s="8">
        <v>57840.12</v>
      </c>
      <c r="D25" s="8">
        <v>58381.85</v>
      </c>
      <c r="E25" s="8">
        <v>7564.65</v>
      </c>
      <c r="F25" s="8">
        <v>105361.22</v>
      </c>
      <c r="G25" s="8">
        <v>168957.01</v>
      </c>
      <c r="H25" s="8">
        <v>37044.33</v>
      </c>
      <c r="I25" s="8">
        <v>75335.33</v>
      </c>
      <c r="J25" s="8">
        <v>102477.8</v>
      </c>
      <c r="K25" s="8">
        <v>132065.23000000001</v>
      </c>
      <c r="L25" s="8">
        <v>95795.3</v>
      </c>
      <c r="M25" s="8">
        <v>5108.87</v>
      </c>
      <c r="N25" s="9">
        <v>101436.26</v>
      </c>
      <c r="O25" s="8">
        <v>1003871.8700000001</v>
      </c>
    </row>
    <row r="26" spans="1:15" ht="15" customHeight="1" x14ac:dyDescent="0.25">
      <c r="A26" s="7">
        <v>2039</v>
      </c>
      <c r="B26" s="8">
        <v>57064.45</v>
      </c>
      <c r="C26" s="8">
        <v>58495.45</v>
      </c>
      <c r="D26" s="8">
        <v>58784.26</v>
      </c>
      <c r="E26" s="8">
        <v>7589.63</v>
      </c>
      <c r="F26" s="8">
        <v>106406.35</v>
      </c>
      <c r="G26" s="8">
        <v>170662.63</v>
      </c>
      <c r="H26" s="8">
        <v>37578.839999999997</v>
      </c>
      <c r="I26" s="8">
        <v>75843.360000000001</v>
      </c>
      <c r="J26" s="8">
        <v>103268.07</v>
      </c>
      <c r="K26" s="8">
        <v>133531.41</v>
      </c>
      <c r="L26" s="8">
        <v>96920.35</v>
      </c>
      <c r="M26" s="8">
        <v>5109.6099999999997</v>
      </c>
      <c r="N26" s="9">
        <v>102646.6</v>
      </c>
      <c r="O26" s="8">
        <v>1013901.01</v>
      </c>
    </row>
    <row r="27" spans="1:15" ht="15" customHeight="1" x14ac:dyDescent="0.25">
      <c r="A27" s="10">
        <v>2040</v>
      </c>
      <c r="B27" s="11">
        <v>57624.06</v>
      </c>
      <c r="C27" s="11">
        <v>59062.22</v>
      </c>
      <c r="D27" s="11">
        <v>59198.58</v>
      </c>
      <c r="E27" s="11">
        <v>7614.37</v>
      </c>
      <c r="F27" s="11">
        <v>107437.46</v>
      </c>
      <c r="G27" s="11">
        <v>172375.01</v>
      </c>
      <c r="H27" s="11">
        <v>38115.29</v>
      </c>
      <c r="I27" s="11">
        <v>76340.94</v>
      </c>
      <c r="J27" s="11">
        <v>104059.83</v>
      </c>
      <c r="K27" s="11">
        <v>134994.97</v>
      </c>
      <c r="L27" s="11">
        <v>98072.639999999999</v>
      </c>
      <c r="M27" s="11">
        <v>5109.4399999999996</v>
      </c>
      <c r="N27" s="12">
        <v>103849.33</v>
      </c>
      <c r="O27" s="11">
        <v>1023854.1399999998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A86B-D886-49D2-8B13-C06D0D345B25}">
  <dimension ref="A1:O34"/>
  <sheetViews>
    <sheetView workbookViewId="0">
      <selection activeCell="I34" sqref="I34"/>
    </sheetView>
  </sheetViews>
  <sheetFormatPr baseColWidth="10" defaultRowHeight="15.75" x14ac:dyDescent="0.25"/>
  <cols>
    <col min="1" max="16384" width="11" style="32"/>
  </cols>
  <sheetData>
    <row r="1" spans="1:15" ht="42.95" customHeight="1" x14ac:dyDescent="0.25"/>
    <row r="2" spans="1:15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ht="15" customHeight="1" x14ac:dyDescent="0.25"/>
    <row r="4" spans="1:15" ht="15" customHeight="1" x14ac:dyDescent="0.25">
      <c r="A4" s="14" t="s">
        <v>56</v>
      </c>
      <c r="B4" s="14"/>
      <c r="C4" s="14"/>
      <c r="D4" s="14"/>
      <c r="E4" s="14"/>
      <c r="F4" s="14" t="s">
        <v>58</v>
      </c>
      <c r="G4" s="14"/>
    </row>
    <row r="5" spans="1:15" ht="15" customHeight="1" x14ac:dyDescent="0.25"/>
    <row r="6" spans="1:15" ht="24.95" customHeight="1" x14ac:dyDescent="0.25">
      <c r="A6" s="42"/>
      <c r="B6" s="43" t="s">
        <v>4</v>
      </c>
      <c r="C6" s="43" t="s">
        <v>51</v>
      </c>
      <c r="D6" s="43" t="s">
        <v>8</v>
      </c>
      <c r="E6" s="43" t="s">
        <v>10</v>
      </c>
      <c r="F6" s="43" t="s">
        <v>12</v>
      </c>
      <c r="G6" s="43" t="s">
        <v>52</v>
      </c>
      <c r="H6" s="43" t="s">
        <v>16</v>
      </c>
      <c r="I6" s="43" t="s">
        <v>53</v>
      </c>
      <c r="J6" s="43" t="s">
        <v>20</v>
      </c>
      <c r="K6" s="43" t="s">
        <v>22</v>
      </c>
      <c r="L6" s="43" t="s">
        <v>24</v>
      </c>
      <c r="M6" s="43" t="s">
        <v>26</v>
      </c>
      <c r="N6" s="44" t="s">
        <v>28</v>
      </c>
      <c r="O6" s="43" t="s">
        <v>54</v>
      </c>
    </row>
    <row r="7" spans="1:15" ht="15" customHeight="1" x14ac:dyDescent="0.25">
      <c r="A7" s="1">
        <v>2020</v>
      </c>
      <c r="B7" s="36">
        <v>46316</v>
      </c>
      <c r="C7" s="36">
        <v>44642</v>
      </c>
      <c r="D7" s="36">
        <v>46413</v>
      </c>
      <c r="E7" s="36">
        <v>6961</v>
      </c>
      <c r="F7" s="36">
        <v>86201</v>
      </c>
      <c r="G7" s="36">
        <v>140430</v>
      </c>
      <c r="H7" s="36">
        <v>27916</v>
      </c>
      <c r="I7" s="36">
        <v>63434</v>
      </c>
      <c r="J7" s="36">
        <v>84561</v>
      </c>
      <c r="K7" s="36">
        <v>103219</v>
      </c>
      <c r="L7" s="36">
        <v>79078</v>
      </c>
      <c r="M7" s="36">
        <v>4894</v>
      </c>
      <c r="N7" s="37">
        <v>81235</v>
      </c>
      <c r="O7" s="36">
        <v>815300</v>
      </c>
    </row>
    <row r="8" spans="1:15" ht="15" customHeight="1" x14ac:dyDescent="0.25">
      <c r="A8" s="45">
        <v>2021</v>
      </c>
      <c r="B8" s="47">
        <v>46646.31</v>
      </c>
      <c r="C8" s="47">
        <v>45299.22</v>
      </c>
      <c r="D8" s="47">
        <v>47110.3</v>
      </c>
      <c r="E8" s="47">
        <v>6998.2</v>
      </c>
      <c r="F8" s="47">
        <v>87072.57</v>
      </c>
      <c r="G8" s="47">
        <v>141144.57</v>
      </c>
      <c r="H8" s="47">
        <v>28388.82</v>
      </c>
      <c r="I8" s="47">
        <v>63969.77</v>
      </c>
      <c r="J8" s="47">
        <v>85483.64</v>
      </c>
      <c r="K8" s="47">
        <v>104488.68</v>
      </c>
      <c r="L8" s="47">
        <v>79806.820000000007</v>
      </c>
      <c r="M8" s="47">
        <v>4893.75</v>
      </c>
      <c r="N8" s="48">
        <v>81697.55</v>
      </c>
      <c r="O8" s="47">
        <v>823000.20000000019</v>
      </c>
    </row>
    <row r="9" spans="1:15" ht="15" customHeight="1" x14ac:dyDescent="0.25">
      <c r="A9" s="45">
        <v>2022</v>
      </c>
      <c r="B9" s="47">
        <v>46937.01</v>
      </c>
      <c r="C9" s="47">
        <v>45920.79</v>
      </c>
      <c r="D9" s="47">
        <v>47766.29</v>
      </c>
      <c r="E9" s="47">
        <v>7015.22</v>
      </c>
      <c r="F9" s="47">
        <v>87816.15</v>
      </c>
      <c r="G9" s="47">
        <v>141810.98000000001</v>
      </c>
      <c r="H9" s="47">
        <v>28835.919999999998</v>
      </c>
      <c r="I9" s="47">
        <v>64465.39</v>
      </c>
      <c r="J9" s="47">
        <v>86306.559999999998</v>
      </c>
      <c r="K9" s="47">
        <v>105626.55</v>
      </c>
      <c r="L9" s="47">
        <v>80445.25</v>
      </c>
      <c r="M9" s="47">
        <v>4890</v>
      </c>
      <c r="N9" s="48">
        <v>82215.73</v>
      </c>
      <c r="O9" s="47">
        <v>830051.84000000008</v>
      </c>
    </row>
    <row r="10" spans="1:15" ht="15" customHeight="1" x14ac:dyDescent="0.25">
      <c r="A10" s="45">
        <v>2023</v>
      </c>
      <c r="B10" s="47">
        <v>47226.74</v>
      </c>
      <c r="C10" s="47">
        <v>46505.16</v>
      </c>
      <c r="D10" s="47">
        <v>48395.97</v>
      </c>
      <c r="E10" s="47">
        <v>7028.73</v>
      </c>
      <c r="F10" s="47">
        <v>88629.36</v>
      </c>
      <c r="G10" s="47">
        <v>142484.04999999999</v>
      </c>
      <c r="H10" s="47">
        <v>29243.7</v>
      </c>
      <c r="I10" s="47">
        <v>64931.9</v>
      </c>
      <c r="J10" s="47">
        <v>87115.22</v>
      </c>
      <c r="K10" s="47">
        <v>106767.65</v>
      </c>
      <c r="L10" s="47">
        <v>81040.44</v>
      </c>
      <c r="M10" s="47">
        <v>4884.42</v>
      </c>
      <c r="N10" s="48">
        <v>82794.27</v>
      </c>
      <c r="O10" s="47">
        <v>837047.61000000022</v>
      </c>
    </row>
    <row r="11" spans="1:15" ht="15" customHeight="1" x14ac:dyDescent="0.25">
      <c r="A11" s="45">
        <v>2024</v>
      </c>
      <c r="B11" s="47">
        <v>47534.46</v>
      </c>
      <c r="C11" s="47">
        <v>47067.56</v>
      </c>
      <c r="D11" s="47">
        <v>49005.94</v>
      </c>
      <c r="E11" s="47">
        <v>7039.44</v>
      </c>
      <c r="F11" s="47">
        <v>89478.44</v>
      </c>
      <c r="G11" s="47">
        <v>143154.04</v>
      </c>
      <c r="H11" s="47">
        <v>29627.78</v>
      </c>
      <c r="I11" s="47">
        <v>65371.02</v>
      </c>
      <c r="J11" s="47">
        <v>87917.41</v>
      </c>
      <c r="K11" s="47">
        <v>107887.58</v>
      </c>
      <c r="L11" s="47">
        <v>81607.94</v>
      </c>
      <c r="M11" s="47">
        <v>4876.84</v>
      </c>
      <c r="N11" s="48">
        <v>83405.34</v>
      </c>
      <c r="O11" s="47">
        <v>843973.79</v>
      </c>
    </row>
    <row r="12" spans="1:15" ht="15" customHeight="1" x14ac:dyDescent="0.25">
      <c r="A12" s="45">
        <v>2025</v>
      </c>
      <c r="B12" s="47">
        <v>47835.77</v>
      </c>
      <c r="C12" s="47">
        <v>47635.55</v>
      </c>
      <c r="D12" s="47">
        <v>49630.59</v>
      </c>
      <c r="E12" s="47">
        <v>7053.22</v>
      </c>
      <c r="F12" s="47">
        <v>90369.600000000006</v>
      </c>
      <c r="G12" s="47">
        <v>143787.14000000001</v>
      </c>
      <c r="H12" s="47">
        <v>29993.52</v>
      </c>
      <c r="I12" s="47">
        <v>65818.259999999995</v>
      </c>
      <c r="J12" s="47">
        <v>88707.26</v>
      </c>
      <c r="K12" s="47">
        <v>109021.95</v>
      </c>
      <c r="L12" s="47">
        <v>82097.55</v>
      </c>
      <c r="M12" s="47">
        <v>4871.78</v>
      </c>
      <c r="N12" s="48">
        <v>84003.71</v>
      </c>
      <c r="O12" s="47">
        <v>850825.9</v>
      </c>
    </row>
    <row r="13" spans="1:15" ht="15" customHeight="1" x14ac:dyDescent="0.25">
      <c r="A13" s="45">
        <v>2026</v>
      </c>
      <c r="B13" s="47">
        <v>48105.54</v>
      </c>
      <c r="C13" s="47">
        <v>48195.8</v>
      </c>
      <c r="D13" s="47">
        <v>50243.15</v>
      </c>
      <c r="E13" s="47">
        <v>7064.66</v>
      </c>
      <c r="F13" s="47">
        <v>91240.59</v>
      </c>
      <c r="G13" s="47">
        <v>144416.45000000001</v>
      </c>
      <c r="H13" s="47">
        <v>30360.31</v>
      </c>
      <c r="I13" s="47">
        <v>66247.44</v>
      </c>
      <c r="J13" s="47">
        <v>89473.63</v>
      </c>
      <c r="K13" s="47">
        <v>110151.49</v>
      </c>
      <c r="L13" s="47">
        <v>82589.48</v>
      </c>
      <c r="M13" s="47">
        <v>4865.3500000000004</v>
      </c>
      <c r="N13" s="48">
        <v>84596.77</v>
      </c>
      <c r="O13" s="47">
        <v>857550.66</v>
      </c>
    </row>
    <row r="14" spans="1:15" ht="15" customHeight="1" x14ac:dyDescent="0.25">
      <c r="A14" s="45">
        <v>2027</v>
      </c>
      <c r="B14" s="47">
        <v>48372.83</v>
      </c>
      <c r="C14" s="47">
        <v>48747.92</v>
      </c>
      <c r="D14" s="47">
        <v>50847.360000000001</v>
      </c>
      <c r="E14" s="47">
        <v>7073.74</v>
      </c>
      <c r="F14" s="47">
        <v>92044.11</v>
      </c>
      <c r="G14" s="47">
        <v>145045.68</v>
      </c>
      <c r="H14" s="47">
        <v>30728.28</v>
      </c>
      <c r="I14" s="47">
        <v>66651.37</v>
      </c>
      <c r="J14" s="47">
        <v>90208.46</v>
      </c>
      <c r="K14" s="47">
        <v>111275.13</v>
      </c>
      <c r="L14" s="47">
        <v>83096.039999999994</v>
      </c>
      <c r="M14" s="47">
        <v>4856.54</v>
      </c>
      <c r="N14" s="48">
        <v>85185.08</v>
      </c>
      <c r="O14" s="47">
        <v>864132.53999999992</v>
      </c>
    </row>
    <row r="15" spans="1:15" ht="15" customHeight="1" x14ac:dyDescent="0.25">
      <c r="A15" s="45">
        <v>2028</v>
      </c>
      <c r="B15" s="47">
        <v>48643.92</v>
      </c>
      <c r="C15" s="47">
        <v>49286.3</v>
      </c>
      <c r="D15" s="47">
        <v>51439.07</v>
      </c>
      <c r="E15" s="47">
        <v>7080.77</v>
      </c>
      <c r="F15" s="47">
        <v>92823.94</v>
      </c>
      <c r="G15" s="47">
        <v>145654.38</v>
      </c>
      <c r="H15" s="47">
        <v>31097.62</v>
      </c>
      <c r="I15" s="47">
        <v>67036.460000000006</v>
      </c>
      <c r="J15" s="47">
        <v>90916.92</v>
      </c>
      <c r="K15" s="47">
        <v>112382.24</v>
      </c>
      <c r="L15" s="47">
        <v>83591.66</v>
      </c>
      <c r="M15" s="47">
        <v>4846.8100000000004</v>
      </c>
      <c r="N15" s="48">
        <v>85756</v>
      </c>
      <c r="O15" s="47">
        <v>870556.09000000008</v>
      </c>
    </row>
    <row r="16" spans="1:15" ht="15" customHeight="1" x14ac:dyDescent="0.25">
      <c r="A16" s="45">
        <v>2029</v>
      </c>
      <c r="B16" s="47">
        <v>48904.17</v>
      </c>
      <c r="C16" s="47">
        <v>49813.36</v>
      </c>
      <c r="D16" s="47">
        <v>51983.08</v>
      </c>
      <c r="E16" s="47">
        <v>7085.34</v>
      </c>
      <c r="F16" s="47">
        <v>93554.91</v>
      </c>
      <c r="G16" s="47">
        <v>146259.4</v>
      </c>
      <c r="H16" s="47">
        <v>31466.06</v>
      </c>
      <c r="I16" s="47">
        <v>67403.28</v>
      </c>
      <c r="J16" s="47">
        <v>91613.38</v>
      </c>
      <c r="K16" s="47">
        <v>113468.93</v>
      </c>
      <c r="L16" s="47">
        <v>84098.44</v>
      </c>
      <c r="M16" s="47">
        <v>4835.17</v>
      </c>
      <c r="N16" s="48">
        <v>86324.21</v>
      </c>
      <c r="O16" s="47">
        <v>876809.72999999986</v>
      </c>
    </row>
    <row r="17" spans="1:15" ht="15" customHeight="1" x14ac:dyDescent="0.25">
      <c r="A17" s="45">
        <v>2030</v>
      </c>
      <c r="B17" s="47">
        <v>49157.93</v>
      </c>
      <c r="C17" s="47">
        <v>50334.720000000001</v>
      </c>
      <c r="D17" s="47">
        <v>52518.33</v>
      </c>
      <c r="E17" s="47">
        <v>7089.14</v>
      </c>
      <c r="F17" s="47">
        <v>94273.89</v>
      </c>
      <c r="G17" s="47">
        <v>146833.34</v>
      </c>
      <c r="H17" s="47">
        <v>31832.79</v>
      </c>
      <c r="I17" s="47">
        <v>67753.34</v>
      </c>
      <c r="J17" s="47">
        <v>92277.49</v>
      </c>
      <c r="K17" s="47">
        <v>114537.35</v>
      </c>
      <c r="L17" s="47">
        <v>84579.7</v>
      </c>
      <c r="M17" s="47">
        <v>4821.83</v>
      </c>
      <c r="N17" s="48">
        <v>86874.33</v>
      </c>
      <c r="O17" s="47">
        <v>882884.17999999982</v>
      </c>
    </row>
    <row r="18" spans="1:15" ht="15" customHeight="1" x14ac:dyDescent="0.25">
      <c r="A18" s="45">
        <v>2031</v>
      </c>
      <c r="B18" s="47">
        <v>49395.48</v>
      </c>
      <c r="C18" s="47">
        <v>50840.32</v>
      </c>
      <c r="D18" s="47">
        <v>52993.03</v>
      </c>
      <c r="E18" s="47">
        <v>7090.69</v>
      </c>
      <c r="F18" s="47">
        <v>94972.71</v>
      </c>
      <c r="G18" s="47">
        <v>147377.32999999999</v>
      </c>
      <c r="H18" s="47">
        <v>32199.4</v>
      </c>
      <c r="I18" s="47">
        <v>68085.820000000007</v>
      </c>
      <c r="J18" s="47">
        <v>92915.44</v>
      </c>
      <c r="K18" s="47">
        <v>115592.24</v>
      </c>
      <c r="L18" s="47">
        <v>85060.24</v>
      </c>
      <c r="M18" s="47">
        <v>4805.68</v>
      </c>
      <c r="N18" s="48">
        <v>87408.94</v>
      </c>
      <c r="O18" s="47">
        <v>888737.32000000007</v>
      </c>
    </row>
    <row r="19" spans="1:15" ht="15" customHeight="1" x14ac:dyDescent="0.25">
      <c r="A19" s="45">
        <v>2032</v>
      </c>
      <c r="B19" s="47">
        <v>49612.33</v>
      </c>
      <c r="C19" s="47">
        <v>51332.36</v>
      </c>
      <c r="D19" s="47">
        <v>53452.160000000003</v>
      </c>
      <c r="E19" s="47">
        <v>7090.42</v>
      </c>
      <c r="F19" s="47">
        <v>95646.53</v>
      </c>
      <c r="G19" s="47">
        <v>147884.9</v>
      </c>
      <c r="H19" s="47">
        <v>32563.21</v>
      </c>
      <c r="I19" s="47">
        <v>68400.23</v>
      </c>
      <c r="J19" s="47">
        <v>93527.05</v>
      </c>
      <c r="K19" s="47">
        <v>116634.23</v>
      </c>
      <c r="L19" s="47">
        <v>85514.55</v>
      </c>
      <c r="M19" s="47">
        <v>4787.07</v>
      </c>
      <c r="N19" s="48">
        <v>87919.09</v>
      </c>
      <c r="O19" s="47">
        <v>894364.13</v>
      </c>
    </row>
    <row r="20" spans="1:15" ht="15" customHeight="1" x14ac:dyDescent="0.25">
      <c r="A20" s="45">
        <v>2033</v>
      </c>
      <c r="B20" s="47">
        <v>49810.48</v>
      </c>
      <c r="C20" s="47">
        <v>51812.08</v>
      </c>
      <c r="D20" s="47">
        <v>53887.96</v>
      </c>
      <c r="E20" s="47">
        <v>7087.4</v>
      </c>
      <c r="F20" s="47">
        <v>96290.63</v>
      </c>
      <c r="G20" s="47">
        <v>148359.48000000001</v>
      </c>
      <c r="H20" s="47">
        <v>32924.620000000003</v>
      </c>
      <c r="I20" s="47">
        <v>68687.320000000007</v>
      </c>
      <c r="J20" s="47">
        <v>94117.43</v>
      </c>
      <c r="K20" s="47">
        <v>117642.13</v>
      </c>
      <c r="L20" s="47">
        <v>85961.94</v>
      </c>
      <c r="M20" s="47">
        <v>4767.0600000000004</v>
      </c>
      <c r="N20" s="48">
        <v>88414.24</v>
      </c>
      <c r="O20" s="47">
        <v>899762.77</v>
      </c>
    </row>
    <row r="21" spans="1:15" ht="15" customHeight="1" x14ac:dyDescent="0.25">
      <c r="A21" s="45">
        <v>2034</v>
      </c>
      <c r="B21" s="47">
        <v>49998.75</v>
      </c>
      <c r="C21" s="47">
        <v>52277.91</v>
      </c>
      <c r="D21" s="47">
        <v>54307.02</v>
      </c>
      <c r="E21" s="47">
        <v>7082.8</v>
      </c>
      <c r="F21" s="47">
        <v>96887.6</v>
      </c>
      <c r="G21" s="47">
        <v>148798.94</v>
      </c>
      <c r="H21" s="47">
        <v>33281.410000000003</v>
      </c>
      <c r="I21" s="47">
        <v>68958.210000000006</v>
      </c>
      <c r="J21" s="47">
        <v>94681.78</v>
      </c>
      <c r="K21" s="47">
        <v>118635.65</v>
      </c>
      <c r="L21" s="47">
        <v>86393.45</v>
      </c>
      <c r="M21" s="47">
        <v>4744.3599999999997</v>
      </c>
      <c r="N21" s="48">
        <v>88888.46</v>
      </c>
      <c r="O21" s="47">
        <v>904936.34</v>
      </c>
    </row>
    <row r="22" spans="1:15" ht="15" customHeight="1" x14ac:dyDescent="0.25">
      <c r="A22" s="45">
        <v>2035</v>
      </c>
      <c r="B22" s="47">
        <v>50169.5</v>
      </c>
      <c r="C22" s="47">
        <v>52724.4</v>
      </c>
      <c r="D22" s="47">
        <v>54722.44</v>
      </c>
      <c r="E22" s="47">
        <v>7076.52</v>
      </c>
      <c r="F22" s="47">
        <v>97466.54</v>
      </c>
      <c r="G22" s="47">
        <v>149200.82</v>
      </c>
      <c r="H22" s="47">
        <v>33634.03</v>
      </c>
      <c r="I22" s="47">
        <v>69210.960000000006</v>
      </c>
      <c r="J22" s="47">
        <v>95185.2</v>
      </c>
      <c r="K22" s="47">
        <v>119616.72</v>
      </c>
      <c r="L22" s="47">
        <v>86816.320000000007</v>
      </c>
      <c r="M22" s="47">
        <v>4719.75</v>
      </c>
      <c r="N22" s="48">
        <v>89348.27</v>
      </c>
      <c r="O22" s="47">
        <v>909891.47</v>
      </c>
    </row>
    <row r="23" spans="1:15" ht="15" customHeight="1" x14ac:dyDescent="0.25">
      <c r="A23" s="45">
        <v>2036</v>
      </c>
      <c r="B23" s="47">
        <v>50326.68</v>
      </c>
      <c r="C23" s="47">
        <v>53156.27</v>
      </c>
      <c r="D23" s="47">
        <v>55131.72</v>
      </c>
      <c r="E23" s="47">
        <v>7068.36</v>
      </c>
      <c r="F23" s="47">
        <v>98023.7</v>
      </c>
      <c r="G23" s="47">
        <v>149570.35999999999</v>
      </c>
      <c r="H23" s="47">
        <v>33983.440000000002</v>
      </c>
      <c r="I23" s="47">
        <v>69441.84</v>
      </c>
      <c r="J23" s="47">
        <v>95666.84</v>
      </c>
      <c r="K23" s="47">
        <v>120565.08</v>
      </c>
      <c r="L23" s="47">
        <v>87222.39</v>
      </c>
      <c r="M23" s="47">
        <v>4692.75</v>
      </c>
      <c r="N23" s="48">
        <v>89787.56</v>
      </c>
      <c r="O23" s="47">
        <v>914636.99</v>
      </c>
    </row>
    <row r="24" spans="1:15" ht="15" customHeight="1" x14ac:dyDescent="0.25">
      <c r="A24" s="45">
        <v>2037</v>
      </c>
      <c r="B24" s="47">
        <v>50467.13</v>
      </c>
      <c r="C24" s="47">
        <v>53558.400000000001</v>
      </c>
      <c r="D24" s="47">
        <v>55538.5</v>
      </c>
      <c r="E24" s="47">
        <v>7059.27</v>
      </c>
      <c r="F24" s="47">
        <v>98598.28</v>
      </c>
      <c r="G24" s="47">
        <v>149895.06</v>
      </c>
      <c r="H24" s="47">
        <v>34327.07</v>
      </c>
      <c r="I24" s="47">
        <v>69658.8</v>
      </c>
      <c r="J24" s="47">
        <v>96136.03</v>
      </c>
      <c r="K24" s="47">
        <v>121485.18</v>
      </c>
      <c r="L24" s="47">
        <v>87596.09</v>
      </c>
      <c r="M24" s="47">
        <v>4664.08</v>
      </c>
      <c r="N24" s="48">
        <v>90199.77</v>
      </c>
      <c r="O24" s="47">
        <v>919183.65999999992</v>
      </c>
    </row>
    <row r="25" spans="1:15" ht="15" customHeight="1" x14ac:dyDescent="0.25">
      <c r="A25" s="45">
        <v>2038</v>
      </c>
      <c r="B25" s="47">
        <v>50591.94</v>
      </c>
      <c r="C25" s="47">
        <v>53950.1</v>
      </c>
      <c r="D25" s="47">
        <v>55947.41</v>
      </c>
      <c r="E25" s="47">
        <v>7048.83</v>
      </c>
      <c r="F25" s="47">
        <v>99161.68</v>
      </c>
      <c r="G25" s="47">
        <v>150187.69</v>
      </c>
      <c r="H25" s="47">
        <v>34665.129999999997</v>
      </c>
      <c r="I25" s="47">
        <v>69843.16</v>
      </c>
      <c r="J25" s="47">
        <v>96566.35</v>
      </c>
      <c r="K25" s="47">
        <v>122396.34</v>
      </c>
      <c r="L25" s="47">
        <v>87954.64</v>
      </c>
      <c r="M25" s="47">
        <v>4634.3500000000004</v>
      </c>
      <c r="N25" s="48">
        <v>90594.97</v>
      </c>
      <c r="O25" s="47">
        <v>923542.58999999985</v>
      </c>
    </row>
    <row r="26" spans="1:15" ht="15" customHeight="1" x14ac:dyDescent="0.25">
      <c r="A26" s="45">
        <v>2039</v>
      </c>
      <c r="B26" s="47">
        <v>50707.23</v>
      </c>
      <c r="C26" s="47">
        <v>54327.199999999997</v>
      </c>
      <c r="D26" s="47">
        <v>56333.1</v>
      </c>
      <c r="E26" s="47">
        <v>7037.37</v>
      </c>
      <c r="F26" s="47">
        <v>99709.71</v>
      </c>
      <c r="G26" s="47">
        <v>150445.35999999999</v>
      </c>
      <c r="H26" s="47">
        <v>34999.17</v>
      </c>
      <c r="I26" s="47">
        <v>70015.289999999994</v>
      </c>
      <c r="J26" s="47">
        <v>96986.79</v>
      </c>
      <c r="K26" s="47">
        <v>123299.16</v>
      </c>
      <c r="L26" s="47">
        <v>88291.839999999997</v>
      </c>
      <c r="M26" s="47">
        <v>4603.34</v>
      </c>
      <c r="N26" s="48">
        <v>90968.51</v>
      </c>
      <c r="O26" s="47">
        <v>927724.07</v>
      </c>
    </row>
    <row r="27" spans="1:15" ht="15" customHeight="1" x14ac:dyDescent="0.25">
      <c r="A27" s="46">
        <v>2040</v>
      </c>
      <c r="B27" s="49">
        <v>50808.2</v>
      </c>
      <c r="C27" s="49">
        <v>54695.25</v>
      </c>
      <c r="D27" s="49">
        <v>56724.88</v>
      </c>
      <c r="E27" s="49">
        <v>7025.07</v>
      </c>
      <c r="F27" s="49">
        <v>100243.04</v>
      </c>
      <c r="G27" s="49">
        <v>150672.47</v>
      </c>
      <c r="H27" s="49">
        <v>35328.629999999997</v>
      </c>
      <c r="I27" s="49">
        <v>70171.460000000006</v>
      </c>
      <c r="J27" s="49">
        <v>97377.95</v>
      </c>
      <c r="K27" s="49">
        <v>124188.68</v>
      </c>
      <c r="L27" s="49">
        <v>88609.65</v>
      </c>
      <c r="M27" s="49">
        <v>4570.87</v>
      </c>
      <c r="N27" s="50">
        <v>91319.8</v>
      </c>
      <c r="O27" s="49">
        <v>931735.95</v>
      </c>
    </row>
    <row r="28" spans="1:15" ht="15" customHeight="1" x14ac:dyDescent="0.25"/>
    <row r="29" spans="1:15" ht="15" customHeight="1" x14ac:dyDescent="0.25"/>
    <row r="30" spans="1:15" ht="15" customHeight="1" x14ac:dyDescent="0.25"/>
    <row r="31" spans="1:15" ht="15" customHeight="1" x14ac:dyDescent="0.25"/>
    <row r="32" spans="1:15" ht="15" customHeight="1" x14ac:dyDescent="0.25"/>
    <row r="33" ht="15" customHeight="1" x14ac:dyDescent="0.25"/>
    <row r="34" ht="15" customHeight="1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AFB6-0F60-47B8-B0CC-2B67658DE207}">
  <dimension ref="A1:L665"/>
  <sheetViews>
    <sheetView workbookViewId="0">
      <selection activeCell="K22" sqref="K22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4" t="s">
        <v>62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54" t="s">
        <v>2</v>
      </c>
      <c r="F6" s="55"/>
      <c r="G6" s="55"/>
      <c r="H6" s="55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8712</v>
      </c>
      <c r="C8" s="60">
        <v>9670</v>
      </c>
      <c r="D8" s="61">
        <v>10776</v>
      </c>
      <c r="E8" s="62">
        <v>11299.78</v>
      </c>
      <c r="F8" s="62">
        <v>11722.56</v>
      </c>
      <c r="G8" s="62">
        <v>11955.49</v>
      </c>
      <c r="H8" s="62">
        <v>12056.7</v>
      </c>
    </row>
    <row r="9" spans="1:12" ht="15" customHeight="1" x14ac:dyDescent="0.25">
      <c r="A9" s="56" t="s">
        <v>0</v>
      </c>
      <c r="B9" s="63">
        <v>19639</v>
      </c>
      <c r="C9" s="63">
        <v>23438</v>
      </c>
      <c r="D9" s="64">
        <v>27176</v>
      </c>
      <c r="E9" s="65">
        <v>27816.13</v>
      </c>
      <c r="F9" s="65">
        <v>28367.3</v>
      </c>
      <c r="G9" s="65">
        <v>29300.9</v>
      </c>
      <c r="H9" s="65">
        <v>30214.54</v>
      </c>
    </row>
    <row r="10" spans="1:12" ht="15" customHeight="1" x14ac:dyDescent="0.25">
      <c r="A10" s="56" t="s">
        <v>1</v>
      </c>
      <c r="B10" s="63">
        <v>4036</v>
      </c>
      <c r="C10" s="63">
        <v>4729</v>
      </c>
      <c r="D10" s="64">
        <v>6240</v>
      </c>
      <c r="E10" s="65">
        <v>6732.7199999999993</v>
      </c>
      <c r="F10" s="65">
        <v>7412.6500000000015</v>
      </c>
      <c r="G10" s="65">
        <v>8006.2800000000007</v>
      </c>
      <c r="H10" s="65">
        <v>8336.17</v>
      </c>
    </row>
    <row r="11" spans="1:12" ht="15" customHeight="1" x14ac:dyDescent="0.25">
      <c r="A11" s="56" t="s">
        <v>60</v>
      </c>
      <c r="B11" s="63">
        <v>1485</v>
      </c>
      <c r="C11" s="63">
        <v>1806</v>
      </c>
      <c r="D11" s="64">
        <v>2124</v>
      </c>
      <c r="E11" s="65">
        <v>2641.77</v>
      </c>
      <c r="F11" s="65">
        <v>3239.14</v>
      </c>
      <c r="G11" s="65">
        <v>3606.82</v>
      </c>
      <c r="H11" s="65">
        <v>4128.6000000000004</v>
      </c>
    </row>
    <row r="12" spans="1:12" ht="15" customHeight="1" x14ac:dyDescent="0.25">
      <c r="A12" s="56" t="s">
        <v>61</v>
      </c>
      <c r="B12" s="65">
        <f t="shared" ref="B12:C12" si="0">SUM(B8:B11)</f>
        <v>33872</v>
      </c>
      <c r="C12" s="65">
        <f t="shared" si="0"/>
        <v>39643</v>
      </c>
      <c r="D12" s="64">
        <f>SUM(D8:D11)</f>
        <v>46316</v>
      </c>
      <c r="E12" s="65">
        <f t="shared" ref="E12:H12" si="1">SUM(E8:E11)</f>
        <v>48490.400000000001</v>
      </c>
      <c r="F12" s="65">
        <f t="shared" si="1"/>
        <v>50741.65</v>
      </c>
      <c r="G12" s="65">
        <f t="shared" si="1"/>
        <v>52869.49</v>
      </c>
      <c r="H12" s="65">
        <f t="shared" si="1"/>
        <v>54736.01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69" t="s">
        <v>57</v>
      </c>
      <c r="F14" s="70"/>
      <c r="G14" s="70"/>
      <c r="H14" s="70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8712</v>
      </c>
      <c r="C16" s="60">
        <v>9670</v>
      </c>
      <c r="D16" s="61">
        <v>10776</v>
      </c>
      <c r="E16" s="62">
        <v>11410.45</v>
      </c>
      <c r="F16" s="62">
        <v>11971.14</v>
      </c>
      <c r="G16" s="62">
        <v>12318.38</v>
      </c>
      <c r="H16" s="62">
        <v>12542.78</v>
      </c>
    </row>
    <row r="17" spans="1:8" ht="15" customHeight="1" x14ac:dyDescent="0.25">
      <c r="A17" s="56" t="s">
        <v>0</v>
      </c>
      <c r="B17" s="63">
        <v>19639</v>
      </c>
      <c r="C17" s="63">
        <v>23438</v>
      </c>
      <c r="D17" s="64">
        <v>27176</v>
      </c>
      <c r="E17" s="65">
        <v>28181.99</v>
      </c>
      <c r="F17" s="65">
        <v>29234.36</v>
      </c>
      <c r="G17" s="65">
        <v>30763.02</v>
      </c>
      <c r="H17" s="65">
        <v>32377.15</v>
      </c>
    </row>
    <row r="18" spans="1:8" ht="15" customHeight="1" x14ac:dyDescent="0.25">
      <c r="A18" s="56" t="s">
        <v>1</v>
      </c>
      <c r="B18" s="63">
        <v>4036</v>
      </c>
      <c r="C18" s="63">
        <v>4729</v>
      </c>
      <c r="D18" s="64">
        <v>6240</v>
      </c>
      <c r="E18" s="65">
        <v>6746.5599999999995</v>
      </c>
      <c r="F18" s="65">
        <v>7448.55</v>
      </c>
      <c r="G18" s="65">
        <v>8085.96</v>
      </c>
      <c r="H18" s="65">
        <v>8488.64</v>
      </c>
    </row>
    <row r="19" spans="1:8" ht="15" customHeight="1" x14ac:dyDescent="0.25">
      <c r="A19" s="56" t="s">
        <v>60</v>
      </c>
      <c r="B19" s="63">
        <v>1485</v>
      </c>
      <c r="C19" s="63">
        <v>1806</v>
      </c>
      <c r="D19" s="64">
        <v>2124</v>
      </c>
      <c r="E19" s="65">
        <v>2646.34</v>
      </c>
      <c r="F19" s="65">
        <v>3253.79</v>
      </c>
      <c r="G19" s="65">
        <v>3645.8</v>
      </c>
      <c r="H19" s="65">
        <v>4215.5</v>
      </c>
    </row>
    <row r="20" spans="1:8" ht="15" customHeight="1" x14ac:dyDescent="0.25">
      <c r="A20" s="56" t="s">
        <v>61</v>
      </c>
      <c r="B20" s="65">
        <f t="shared" ref="B20:C20" si="2">SUM(B16:B19)</f>
        <v>33872</v>
      </c>
      <c r="C20" s="65">
        <f t="shared" si="2"/>
        <v>39643</v>
      </c>
      <c r="D20" s="64">
        <f>SUM(D16:D19)</f>
        <v>46316</v>
      </c>
      <c r="E20" s="65">
        <f t="shared" ref="E20:H20" si="3">SUM(E16:E19)</f>
        <v>48985.34</v>
      </c>
      <c r="F20" s="65">
        <f t="shared" si="3"/>
        <v>51907.840000000004</v>
      </c>
      <c r="G20" s="65">
        <f t="shared" si="3"/>
        <v>54813.16</v>
      </c>
      <c r="H20" s="65">
        <f t="shared" si="3"/>
        <v>57624.07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69" t="s">
        <v>58</v>
      </c>
      <c r="F22" s="70"/>
      <c r="G22" s="70"/>
      <c r="H22" s="70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8712</v>
      </c>
      <c r="C24" s="60">
        <v>9670</v>
      </c>
      <c r="D24" s="61">
        <v>10776</v>
      </c>
      <c r="E24" s="62">
        <v>11081.31</v>
      </c>
      <c r="F24" s="62">
        <v>11176.48</v>
      </c>
      <c r="G24" s="62">
        <v>10942.18</v>
      </c>
      <c r="H24" s="62">
        <v>10479.34</v>
      </c>
    </row>
    <row r="25" spans="1:8" ht="15" customHeight="1" x14ac:dyDescent="0.25">
      <c r="A25" s="56" t="s">
        <v>0</v>
      </c>
      <c r="B25" s="63">
        <v>19639</v>
      </c>
      <c r="C25" s="63">
        <v>23438</v>
      </c>
      <c r="D25" s="64">
        <v>27176</v>
      </c>
      <c r="E25" s="65">
        <v>27402.59</v>
      </c>
      <c r="F25" s="65">
        <v>27399.96</v>
      </c>
      <c r="G25" s="65">
        <v>27766.01</v>
      </c>
      <c r="H25" s="65">
        <v>28141.56</v>
      </c>
    </row>
    <row r="26" spans="1:8" ht="15" customHeight="1" x14ac:dyDescent="0.25">
      <c r="A26" s="56" t="s">
        <v>1</v>
      </c>
      <c r="B26" s="63">
        <v>4036</v>
      </c>
      <c r="C26" s="63">
        <v>4729</v>
      </c>
      <c r="D26" s="64">
        <v>6240</v>
      </c>
      <c r="E26" s="65">
        <v>6715.58</v>
      </c>
      <c r="F26" s="65">
        <v>7362.32</v>
      </c>
      <c r="G26" s="65">
        <v>7902.3099999999995</v>
      </c>
      <c r="H26" s="65">
        <v>8156.41</v>
      </c>
    </row>
    <row r="27" spans="1:8" ht="15" customHeight="1" x14ac:dyDescent="0.25">
      <c r="A27" s="56" t="s">
        <v>60</v>
      </c>
      <c r="B27" s="63">
        <v>1485</v>
      </c>
      <c r="C27" s="63">
        <v>1806</v>
      </c>
      <c r="D27" s="64">
        <v>2124</v>
      </c>
      <c r="E27" s="65">
        <v>2636.28</v>
      </c>
      <c r="F27" s="65">
        <v>3219.17</v>
      </c>
      <c r="G27" s="65">
        <v>3559</v>
      </c>
      <c r="H27" s="65">
        <v>4030.89</v>
      </c>
    </row>
    <row r="28" spans="1:8" ht="15" customHeight="1" x14ac:dyDescent="0.25">
      <c r="A28" s="71" t="s">
        <v>61</v>
      </c>
      <c r="B28" s="72">
        <f t="shared" ref="B28:C28" si="4">SUM(B24:B27)</f>
        <v>33872</v>
      </c>
      <c r="C28" s="72">
        <f t="shared" si="4"/>
        <v>39643</v>
      </c>
      <c r="D28" s="73">
        <f>SUM(D24:D27)</f>
        <v>46316</v>
      </c>
      <c r="E28" s="72">
        <f t="shared" ref="E28:H28" si="5">SUM(E24:E27)</f>
        <v>47835.76</v>
      </c>
      <c r="F28" s="72">
        <f t="shared" si="5"/>
        <v>49157.93</v>
      </c>
      <c r="G28" s="72">
        <f t="shared" si="5"/>
        <v>50169.5</v>
      </c>
      <c r="H28" s="72">
        <f t="shared" si="5"/>
        <v>50808.2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C191-BE33-40CA-A709-C584D8DCF9C7}">
  <dimension ref="A1:L665"/>
  <sheetViews>
    <sheetView workbookViewId="0">
      <selection activeCell="E4" sqref="E4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63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7717</v>
      </c>
      <c r="C8" s="60">
        <v>8385</v>
      </c>
      <c r="D8" s="61">
        <v>10608</v>
      </c>
      <c r="E8" s="62">
        <v>11448.79</v>
      </c>
      <c r="F8" s="62">
        <v>11978.48</v>
      </c>
      <c r="G8" s="62">
        <v>12368.87</v>
      </c>
      <c r="H8" s="62">
        <v>12470.62</v>
      </c>
    </row>
    <row r="9" spans="1:12" ht="15" customHeight="1" x14ac:dyDescent="0.25">
      <c r="A9" s="56" t="s">
        <v>0</v>
      </c>
      <c r="B9" s="63">
        <v>18051</v>
      </c>
      <c r="C9" s="63">
        <v>21289</v>
      </c>
      <c r="D9" s="64">
        <v>26899</v>
      </c>
      <c r="E9" s="65">
        <v>28399.37</v>
      </c>
      <c r="F9" s="65">
        <v>29585.7</v>
      </c>
      <c r="G9" s="65">
        <v>30860.66</v>
      </c>
      <c r="H9" s="65">
        <v>32189.74</v>
      </c>
    </row>
    <row r="10" spans="1:12" ht="15" customHeight="1" x14ac:dyDescent="0.25">
      <c r="A10" s="56" t="s">
        <v>1</v>
      </c>
      <c r="B10" s="63">
        <v>3567</v>
      </c>
      <c r="C10" s="63">
        <v>3947</v>
      </c>
      <c r="D10" s="64">
        <v>5264</v>
      </c>
      <c r="E10" s="65">
        <v>5930.59</v>
      </c>
      <c r="F10" s="65">
        <v>6952.88</v>
      </c>
      <c r="G10" s="65">
        <v>8043.07</v>
      </c>
      <c r="H10" s="65">
        <v>8800.32</v>
      </c>
    </row>
    <row r="11" spans="1:12" ht="15" customHeight="1" x14ac:dyDescent="0.25">
      <c r="A11" s="56" t="s">
        <v>60</v>
      </c>
      <c r="B11" s="63">
        <v>1301</v>
      </c>
      <c r="C11" s="63">
        <v>1704</v>
      </c>
      <c r="D11" s="64">
        <v>1871</v>
      </c>
      <c r="E11" s="65">
        <v>2255</v>
      </c>
      <c r="F11" s="65">
        <v>2770.2</v>
      </c>
      <c r="G11" s="65">
        <v>3132</v>
      </c>
      <c r="H11" s="65">
        <v>3700.05</v>
      </c>
    </row>
    <row r="12" spans="1:12" ht="15" customHeight="1" x14ac:dyDescent="0.25">
      <c r="A12" s="56" t="s">
        <v>61</v>
      </c>
      <c r="B12" s="65">
        <f t="shared" ref="B12:C12" si="0">SUM(B8:B11)</f>
        <v>30636</v>
      </c>
      <c r="C12" s="65">
        <f t="shared" si="0"/>
        <v>35325</v>
      </c>
      <c r="D12" s="64">
        <f>SUM(D8:D11)</f>
        <v>44642</v>
      </c>
      <c r="E12" s="65">
        <f t="shared" ref="E12:H12" si="1">SUM(E8:E11)</f>
        <v>48033.75</v>
      </c>
      <c r="F12" s="65">
        <f t="shared" si="1"/>
        <v>51287.259999999995</v>
      </c>
      <c r="G12" s="65">
        <f t="shared" si="1"/>
        <v>54404.6</v>
      </c>
      <c r="H12" s="65">
        <f t="shared" si="1"/>
        <v>57160.73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7717</v>
      </c>
      <c r="C16" s="60">
        <v>8385</v>
      </c>
      <c r="D16" s="61">
        <v>10608</v>
      </c>
      <c r="E16" s="62">
        <v>11631.97</v>
      </c>
      <c r="F16" s="62">
        <v>12345.18</v>
      </c>
      <c r="G16" s="62">
        <v>12823.41</v>
      </c>
      <c r="H16" s="62">
        <v>12990.63</v>
      </c>
    </row>
    <row r="17" spans="1:8" ht="15" customHeight="1" x14ac:dyDescent="0.25">
      <c r="A17" s="56" t="s">
        <v>0</v>
      </c>
      <c r="B17" s="63">
        <v>18051</v>
      </c>
      <c r="C17" s="63">
        <v>21289</v>
      </c>
      <c r="D17" s="64">
        <v>26899</v>
      </c>
      <c r="E17" s="65">
        <v>28614.1</v>
      </c>
      <c r="F17" s="65">
        <v>30091.79</v>
      </c>
      <c r="G17" s="65">
        <v>31678.92</v>
      </c>
      <c r="H17" s="65">
        <v>33315.199999999997</v>
      </c>
    </row>
    <row r="18" spans="1:8" ht="15" customHeight="1" x14ac:dyDescent="0.25">
      <c r="A18" s="56" t="s">
        <v>1</v>
      </c>
      <c r="B18" s="63">
        <v>3567</v>
      </c>
      <c r="C18" s="63">
        <v>3947</v>
      </c>
      <c r="D18" s="64">
        <v>5264</v>
      </c>
      <c r="E18" s="65">
        <v>5951.07</v>
      </c>
      <c r="F18" s="65">
        <v>7009.4699999999993</v>
      </c>
      <c r="G18" s="65">
        <v>8149.62</v>
      </c>
      <c r="H18" s="65">
        <v>8966.5399999999991</v>
      </c>
    </row>
    <row r="19" spans="1:8" ht="15" customHeight="1" x14ac:dyDescent="0.25">
      <c r="A19" s="56" t="s">
        <v>60</v>
      </c>
      <c r="B19" s="63">
        <v>1301</v>
      </c>
      <c r="C19" s="63">
        <v>1704</v>
      </c>
      <c r="D19" s="64">
        <v>1871</v>
      </c>
      <c r="E19" s="65">
        <v>2261.9899999999998</v>
      </c>
      <c r="F19" s="65">
        <v>2792.86</v>
      </c>
      <c r="G19" s="65">
        <v>3180.3</v>
      </c>
      <c r="H19" s="65">
        <v>3789.85</v>
      </c>
    </row>
    <row r="20" spans="1:8" ht="15" customHeight="1" x14ac:dyDescent="0.25">
      <c r="A20" s="56" t="s">
        <v>61</v>
      </c>
      <c r="B20" s="65">
        <f t="shared" ref="B20:C20" si="2">SUM(B16:B19)</f>
        <v>30636</v>
      </c>
      <c r="C20" s="65">
        <f t="shared" si="2"/>
        <v>35325</v>
      </c>
      <c r="D20" s="64">
        <f>SUM(D16:D19)</f>
        <v>44642</v>
      </c>
      <c r="E20" s="65">
        <f t="shared" ref="E20:H20" si="3">SUM(E16:E19)</f>
        <v>48459.13</v>
      </c>
      <c r="F20" s="65">
        <f t="shared" si="3"/>
        <v>52239.3</v>
      </c>
      <c r="G20" s="65">
        <f t="shared" si="3"/>
        <v>55832.250000000007</v>
      </c>
      <c r="H20" s="65">
        <f t="shared" si="3"/>
        <v>59062.219999999994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7717</v>
      </c>
      <c r="C24" s="60">
        <v>8385</v>
      </c>
      <c r="D24" s="61">
        <v>10608</v>
      </c>
      <c r="E24" s="62">
        <v>11355.35</v>
      </c>
      <c r="F24" s="62">
        <v>11672.52</v>
      </c>
      <c r="G24" s="62">
        <v>11672.52</v>
      </c>
      <c r="H24" s="62">
        <v>11308.22</v>
      </c>
    </row>
    <row r="25" spans="1:8" ht="15" customHeight="1" x14ac:dyDescent="0.25">
      <c r="A25" s="56" t="s">
        <v>0</v>
      </c>
      <c r="B25" s="63">
        <v>18051</v>
      </c>
      <c r="C25" s="63">
        <v>21289</v>
      </c>
      <c r="D25" s="64">
        <v>26899</v>
      </c>
      <c r="E25" s="65">
        <v>28131.87</v>
      </c>
      <c r="F25" s="65">
        <v>29021.56</v>
      </c>
      <c r="G25" s="65">
        <v>30018.66</v>
      </c>
      <c r="H25" s="65">
        <v>31106.52</v>
      </c>
    </row>
    <row r="26" spans="1:8" ht="15" customHeight="1" x14ac:dyDescent="0.25">
      <c r="A26" s="56" t="s">
        <v>1</v>
      </c>
      <c r="B26" s="63">
        <v>3567</v>
      </c>
      <c r="C26" s="63">
        <v>3947</v>
      </c>
      <c r="D26" s="64">
        <v>5264</v>
      </c>
      <c r="E26" s="65">
        <v>5902.9</v>
      </c>
      <c r="F26" s="65">
        <v>6893.8499999999995</v>
      </c>
      <c r="G26" s="65">
        <v>7945.5299999999988</v>
      </c>
      <c r="H26" s="65">
        <v>8658.6200000000008</v>
      </c>
    </row>
    <row r="27" spans="1:8" ht="15" customHeight="1" x14ac:dyDescent="0.25">
      <c r="A27" s="56" t="s">
        <v>60</v>
      </c>
      <c r="B27" s="63">
        <v>1301</v>
      </c>
      <c r="C27" s="63">
        <v>1704</v>
      </c>
      <c r="D27" s="64">
        <v>1871</v>
      </c>
      <c r="E27" s="65">
        <v>2245.4299999999998</v>
      </c>
      <c r="F27" s="65">
        <v>2746.79</v>
      </c>
      <c r="G27" s="65">
        <v>3087.68</v>
      </c>
      <c r="H27" s="65">
        <v>3621.89</v>
      </c>
    </row>
    <row r="28" spans="1:8" ht="15" customHeight="1" x14ac:dyDescent="0.25">
      <c r="A28" s="71" t="s">
        <v>61</v>
      </c>
      <c r="B28" s="72">
        <f t="shared" ref="B28:C28" si="4">SUM(B24:B27)</f>
        <v>30636</v>
      </c>
      <c r="C28" s="72">
        <f t="shared" si="4"/>
        <v>35325</v>
      </c>
      <c r="D28" s="73">
        <f>SUM(D24:D27)</f>
        <v>44642</v>
      </c>
      <c r="E28" s="72">
        <f t="shared" ref="E28:H28" si="5">SUM(E24:E27)</f>
        <v>47635.55</v>
      </c>
      <c r="F28" s="72">
        <f t="shared" si="5"/>
        <v>50334.720000000001</v>
      </c>
      <c r="G28" s="72">
        <f t="shared" si="5"/>
        <v>52724.39</v>
      </c>
      <c r="H28" s="72">
        <f t="shared" si="5"/>
        <v>54695.25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5259-1FF2-4091-85FB-9989AE3DC57C}">
  <dimension ref="A1:L665"/>
  <sheetViews>
    <sheetView workbookViewId="0">
      <selection activeCell="E4" sqref="E4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64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8230</v>
      </c>
      <c r="C8" s="60">
        <v>9621</v>
      </c>
      <c r="D8" s="61">
        <v>11280</v>
      </c>
      <c r="E8" s="62">
        <v>12218.27</v>
      </c>
      <c r="F8" s="62">
        <v>12737.92</v>
      </c>
      <c r="G8" s="62">
        <v>12935.75</v>
      </c>
      <c r="H8" s="62">
        <v>13172.46</v>
      </c>
    </row>
    <row r="9" spans="1:12" ht="15" customHeight="1" x14ac:dyDescent="0.25">
      <c r="A9" s="56" t="s">
        <v>0</v>
      </c>
      <c r="B9" s="63">
        <v>19310</v>
      </c>
      <c r="C9" s="63">
        <v>23356</v>
      </c>
      <c r="D9" s="64">
        <v>28332</v>
      </c>
      <c r="E9" s="65">
        <v>29999.200000000001</v>
      </c>
      <c r="F9" s="65">
        <v>31378.799999999999</v>
      </c>
      <c r="G9" s="65">
        <v>32369.81</v>
      </c>
      <c r="H9" s="65">
        <v>33022.99</v>
      </c>
    </row>
    <row r="10" spans="1:12" ht="15" customHeight="1" x14ac:dyDescent="0.25">
      <c r="A10" s="56" t="s">
        <v>1</v>
      </c>
      <c r="B10" s="63">
        <v>2796</v>
      </c>
      <c r="C10" s="63">
        <v>3765</v>
      </c>
      <c r="D10" s="64">
        <v>5163</v>
      </c>
      <c r="E10" s="65">
        <v>5785.1399999999994</v>
      </c>
      <c r="F10" s="65">
        <v>6648.6699999999992</v>
      </c>
      <c r="G10" s="65">
        <v>7674.2999999999993</v>
      </c>
      <c r="H10" s="65">
        <v>8337.880000000001</v>
      </c>
    </row>
    <row r="11" spans="1:12" ht="15" customHeight="1" x14ac:dyDescent="0.25">
      <c r="A11" s="56" t="s">
        <v>60</v>
      </c>
      <c r="B11" s="63">
        <v>894</v>
      </c>
      <c r="C11" s="63">
        <v>1238</v>
      </c>
      <c r="D11" s="64">
        <v>1638</v>
      </c>
      <c r="E11" s="65">
        <v>2153.34</v>
      </c>
      <c r="F11" s="65">
        <v>2657.55</v>
      </c>
      <c r="G11" s="65">
        <v>2913.34</v>
      </c>
      <c r="H11" s="65">
        <v>3378.24</v>
      </c>
    </row>
    <row r="12" spans="1:12" ht="15" customHeight="1" x14ac:dyDescent="0.25">
      <c r="A12" s="56" t="s">
        <v>61</v>
      </c>
      <c r="B12" s="65">
        <f t="shared" ref="B12:C12" si="0">SUM(B8:B11)</f>
        <v>31230</v>
      </c>
      <c r="C12" s="65">
        <f t="shared" si="0"/>
        <v>37980</v>
      </c>
      <c r="D12" s="64">
        <f>SUM(D8:D11)</f>
        <v>46413</v>
      </c>
      <c r="E12" s="65">
        <f t="shared" ref="E12:H12" si="1">SUM(E8:E11)</f>
        <v>50155.95</v>
      </c>
      <c r="F12" s="65">
        <f t="shared" si="1"/>
        <v>53422.94</v>
      </c>
      <c r="G12" s="65">
        <f t="shared" si="1"/>
        <v>55893.2</v>
      </c>
      <c r="H12" s="65">
        <f t="shared" si="1"/>
        <v>57911.57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8230</v>
      </c>
      <c r="C16" s="60">
        <v>9621</v>
      </c>
      <c r="D16" s="61">
        <v>11280</v>
      </c>
      <c r="E16" s="62">
        <v>12241.3</v>
      </c>
      <c r="F16" s="62">
        <v>12788.19</v>
      </c>
      <c r="G16" s="62">
        <v>13072.03</v>
      </c>
      <c r="H16" s="62">
        <v>13464.19</v>
      </c>
    </row>
    <row r="17" spans="1:8" ht="15" customHeight="1" x14ac:dyDescent="0.25">
      <c r="A17" s="56" t="s">
        <v>0</v>
      </c>
      <c r="B17" s="63">
        <v>19310</v>
      </c>
      <c r="C17" s="63">
        <v>23356</v>
      </c>
      <c r="D17" s="64">
        <v>28332</v>
      </c>
      <c r="E17" s="65">
        <v>30229.34</v>
      </c>
      <c r="F17" s="65">
        <v>31881.51</v>
      </c>
      <c r="G17" s="65">
        <v>33089.19</v>
      </c>
      <c r="H17" s="65">
        <v>33827.660000000003</v>
      </c>
    </row>
    <row r="18" spans="1:8" ht="15" customHeight="1" x14ac:dyDescent="0.25">
      <c r="A18" s="56" t="s">
        <v>1</v>
      </c>
      <c r="B18" s="63">
        <v>2796</v>
      </c>
      <c r="C18" s="63">
        <v>3765</v>
      </c>
      <c r="D18" s="64">
        <v>5163</v>
      </c>
      <c r="E18" s="65">
        <v>5815.32</v>
      </c>
      <c r="F18" s="65">
        <v>6720.0999999999985</v>
      </c>
      <c r="G18" s="65">
        <v>7783.09</v>
      </c>
      <c r="H18" s="65">
        <v>8456.4499999999989</v>
      </c>
    </row>
    <row r="19" spans="1:8" ht="15" customHeight="1" x14ac:dyDescent="0.25">
      <c r="A19" s="56" t="s">
        <v>60</v>
      </c>
      <c r="B19" s="63">
        <v>894</v>
      </c>
      <c r="C19" s="63">
        <v>1238</v>
      </c>
      <c r="D19" s="64">
        <v>1638</v>
      </c>
      <c r="E19" s="65">
        <v>2164.19</v>
      </c>
      <c r="F19" s="65">
        <v>2688.53</v>
      </c>
      <c r="G19" s="65">
        <v>2965.02</v>
      </c>
      <c r="H19" s="65">
        <v>3450.28</v>
      </c>
    </row>
    <row r="20" spans="1:8" ht="15" customHeight="1" x14ac:dyDescent="0.25">
      <c r="A20" s="56" t="s">
        <v>61</v>
      </c>
      <c r="B20" s="65">
        <f t="shared" ref="B20:C20" si="2">SUM(B16:B19)</f>
        <v>31230</v>
      </c>
      <c r="C20" s="65">
        <f t="shared" si="2"/>
        <v>37980</v>
      </c>
      <c r="D20" s="64">
        <f>SUM(D16:D19)</f>
        <v>46413</v>
      </c>
      <c r="E20" s="65">
        <f t="shared" ref="E20:H20" si="3">SUM(E16:E19)</f>
        <v>50450.15</v>
      </c>
      <c r="F20" s="65">
        <f t="shared" si="3"/>
        <v>54078.329999999994</v>
      </c>
      <c r="G20" s="65">
        <f t="shared" si="3"/>
        <v>56909.329999999994</v>
      </c>
      <c r="H20" s="65">
        <f t="shared" si="3"/>
        <v>59198.58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8230</v>
      </c>
      <c r="C24" s="60">
        <v>9621</v>
      </c>
      <c r="D24" s="61">
        <v>11280</v>
      </c>
      <c r="E24" s="62">
        <v>11958.48</v>
      </c>
      <c r="F24" s="62">
        <v>12191.53</v>
      </c>
      <c r="G24" s="62">
        <v>12121.84</v>
      </c>
      <c r="H24" s="62">
        <v>12165.86</v>
      </c>
    </row>
    <row r="25" spans="1:8" ht="15" customHeight="1" x14ac:dyDescent="0.25">
      <c r="A25" s="56" t="s">
        <v>0</v>
      </c>
      <c r="B25" s="63">
        <v>19310</v>
      </c>
      <c r="C25" s="63">
        <v>23356</v>
      </c>
      <c r="D25" s="64">
        <v>28332</v>
      </c>
      <c r="E25" s="65">
        <v>29772.83</v>
      </c>
      <c r="F25" s="65">
        <v>31061.08</v>
      </c>
      <c r="G25" s="65">
        <v>32031.51</v>
      </c>
      <c r="H25" s="65">
        <v>32792.78</v>
      </c>
    </row>
    <row r="26" spans="1:8" ht="15" customHeight="1" x14ac:dyDescent="0.25">
      <c r="A26" s="56" t="s">
        <v>1</v>
      </c>
      <c r="B26" s="63">
        <v>2796</v>
      </c>
      <c r="C26" s="63">
        <v>3765</v>
      </c>
      <c r="D26" s="64">
        <v>5163</v>
      </c>
      <c r="E26" s="65">
        <v>5756.79</v>
      </c>
      <c r="F26" s="65">
        <v>6621.32</v>
      </c>
      <c r="G26" s="65">
        <v>7667.6200000000008</v>
      </c>
      <c r="H26" s="65">
        <v>8389.68</v>
      </c>
    </row>
    <row r="27" spans="1:8" ht="15" customHeight="1" x14ac:dyDescent="0.25">
      <c r="A27" s="56" t="s">
        <v>60</v>
      </c>
      <c r="B27" s="63">
        <v>894</v>
      </c>
      <c r="C27" s="63">
        <v>1238</v>
      </c>
      <c r="D27" s="64">
        <v>1638</v>
      </c>
      <c r="E27" s="65">
        <v>2142.5</v>
      </c>
      <c r="F27" s="65">
        <v>2644.41</v>
      </c>
      <c r="G27" s="65">
        <v>2901.47</v>
      </c>
      <c r="H27" s="65">
        <v>3376.56</v>
      </c>
    </row>
    <row r="28" spans="1:8" ht="15" customHeight="1" x14ac:dyDescent="0.25">
      <c r="A28" s="71" t="s">
        <v>61</v>
      </c>
      <c r="B28" s="72">
        <f t="shared" ref="B28:C28" si="4">SUM(B24:B27)</f>
        <v>31230</v>
      </c>
      <c r="C28" s="72">
        <f t="shared" si="4"/>
        <v>37980</v>
      </c>
      <c r="D28" s="73">
        <f>SUM(D24:D27)</f>
        <v>46413</v>
      </c>
      <c r="E28" s="72">
        <f t="shared" ref="E28:H28" si="5">SUM(E24:E27)</f>
        <v>49630.6</v>
      </c>
      <c r="F28" s="72">
        <f t="shared" si="5"/>
        <v>52518.34</v>
      </c>
      <c r="G28" s="72">
        <f t="shared" si="5"/>
        <v>54722.44</v>
      </c>
      <c r="H28" s="72">
        <f t="shared" si="5"/>
        <v>56724.88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FCB7-0121-4958-8BE6-51D3B3BA13CE}">
  <dimension ref="A1:L665"/>
  <sheetViews>
    <sheetView workbookViewId="0">
      <selection activeCell="E4" sqref="E4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65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1411</v>
      </c>
      <c r="C8" s="60">
        <v>1380</v>
      </c>
      <c r="D8" s="61">
        <v>1388</v>
      </c>
      <c r="E8" s="62">
        <v>1445.54</v>
      </c>
      <c r="F8" s="62">
        <v>1419.94</v>
      </c>
      <c r="G8" s="62">
        <v>1409.58</v>
      </c>
      <c r="H8" s="62">
        <v>1354.94</v>
      </c>
    </row>
    <row r="9" spans="1:12" ht="15" customHeight="1" x14ac:dyDescent="0.25">
      <c r="A9" s="56" t="s">
        <v>0</v>
      </c>
      <c r="B9" s="63">
        <v>3436</v>
      </c>
      <c r="C9" s="63">
        <v>3653</v>
      </c>
      <c r="D9" s="64">
        <v>3975</v>
      </c>
      <c r="E9" s="65">
        <v>3926.6</v>
      </c>
      <c r="F9" s="65">
        <v>3948.41</v>
      </c>
      <c r="G9" s="65">
        <v>3970.51</v>
      </c>
      <c r="H9" s="65">
        <v>3966.48</v>
      </c>
    </row>
    <row r="10" spans="1:12" ht="15" customHeight="1" x14ac:dyDescent="0.25">
      <c r="A10" s="56" t="s">
        <v>1</v>
      </c>
      <c r="B10" s="63">
        <v>970</v>
      </c>
      <c r="C10" s="63">
        <v>953</v>
      </c>
      <c r="D10" s="64">
        <v>1159</v>
      </c>
      <c r="E10" s="65">
        <v>1207.6300000000001</v>
      </c>
      <c r="F10" s="65">
        <v>1264.75</v>
      </c>
      <c r="G10" s="65">
        <v>1294.22</v>
      </c>
      <c r="H10" s="65">
        <v>1340.46</v>
      </c>
    </row>
    <row r="11" spans="1:12" ht="15" customHeight="1" x14ac:dyDescent="0.25">
      <c r="A11" s="56" t="s">
        <v>60</v>
      </c>
      <c r="B11" s="63">
        <v>370</v>
      </c>
      <c r="C11" s="63">
        <v>476</v>
      </c>
      <c r="D11" s="64">
        <v>439</v>
      </c>
      <c r="E11" s="65">
        <v>550.9</v>
      </c>
      <c r="F11" s="65">
        <v>626.4</v>
      </c>
      <c r="G11" s="65">
        <v>687.54</v>
      </c>
      <c r="H11" s="65">
        <v>767.27</v>
      </c>
    </row>
    <row r="12" spans="1:12" ht="15" customHeight="1" x14ac:dyDescent="0.25">
      <c r="A12" s="56" t="s">
        <v>61</v>
      </c>
      <c r="B12" s="65">
        <f t="shared" ref="B12:C12" si="0">SUM(B8:B11)</f>
        <v>6187</v>
      </c>
      <c r="C12" s="65">
        <f t="shared" si="0"/>
        <v>6462</v>
      </c>
      <c r="D12" s="64">
        <f>SUM(D8:D11)</f>
        <v>6961</v>
      </c>
      <c r="E12" s="65">
        <f t="shared" ref="E12:H12" si="1">SUM(E8:E11)</f>
        <v>7130.6699999999992</v>
      </c>
      <c r="F12" s="65">
        <f t="shared" si="1"/>
        <v>7259.5</v>
      </c>
      <c r="G12" s="65">
        <f t="shared" si="1"/>
        <v>7361.85</v>
      </c>
      <c r="H12" s="65">
        <f t="shared" si="1"/>
        <v>7429.15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1411</v>
      </c>
      <c r="C16" s="60">
        <v>1380</v>
      </c>
      <c r="D16" s="61">
        <v>1388</v>
      </c>
      <c r="E16" s="62">
        <v>1457.9</v>
      </c>
      <c r="F16" s="62">
        <v>1433.3</v>
      </c>
      <c r="G16" s="62">
        <v>1410.93</v>
      </c>
      <c r="H16" s="62">
        <v>1349.95</v>
      </c>
    </row>
    <row r="17" spans="1:8" ht="15" customHeight="1" x14ac:dyDescent="0.25">
      <c r="A17" s="56" t="s">
        <v>0</v>
      </c>
      <c r="B17" s="63">
        <v>3436</v>
      </c>
      <c r="C17" s="63">
        <v>3653</v>
      </c>
      <c r="D17" s="64">
        <v>3975</v>
      </c>
      <c r="E17" s="65">
        <v>3950.81</v>
      </c>
      <c r="F17" s="65">
        <v>4008.07</v>
      </c>
      <c r="G17" s="65">
        <v>4073.2</v>
      </c>
      <c r="H17" s="65">
        <v>4116.47</v>
      </c>
    </row>
    <row r="18" spans="1:8" ht="15" customHeight="1" x14ac:dyDescent="0.25">
      <c r="A18" s="56" t="s">
        <v>1</v>
      </c>
      <c r="B18" s="63">
        <v>970</v>
      </c>
      <c r="C18" s="63">
        <v>953</v>
      </c>
      <c r="D18" s="64">
        <v>1159</v>
      </c>
      <c r="E18" s="65">
        <v>1209.4000000000001</v>
      </c>
      <c r="F18" s="65">
        <v>1270.6500000000001</v>
      </c>
      <c r="G18" s="65">
        <v>1307.6199999999999</v>
      </c>
      <c r="H18" s="65">
        <v>1364.81</v>
      </c>
    </row>
    <row r="19" spans="1:8" ht="15" customHeight="1" x14ac:dyDescent="0.25">
      <c r="A19" s="56" t="s">
        <v>60</v>
      </c>
      <c r="B19" s="63">
        <v>370</v>
      </c>
      <c r="C19" s="63">
        <v>476</v>
      </c>
      <c r="D19" s="64">
        <v>439</v>
      </c>
      <c r="E19" s="65">
        <v>551.67999999999995</v>
      </c>
      <c r="F19" s="65">
        <v>629.39</v>
      </c>
      <c r="G19" s="65">
        <v>695.23</v>
      </c>
      <c r="H19" s="65">
        <v>783.15</v>
      </c>
    </row>
    <row r="20" spans="1:8" ht="15" customHeight="1" x14ac:dyDescent="0.25">
      <c r="A20" s="56" t="s">
        <v>61</v>
      </c>
      <c r="B20" s="65">
        <f t="shared" ref="B20:C20" si="2">SUM(B16:B19)</f>
        <v>6187</v>
      </c>
      <c r="C20" s="65">
        <f t="shared" si="2"/>
        <v>6462</v>
      </c>
      <c r="D20" s="64">
        <f>SUM(D16:D19)</f>
        <v>6961</v>
      </c>
      <c r="E20" s="65">
        <f t="shared" ref="E20:H20" si="3">SUM(E16:E19)</f>
        <v>7169.7900000000009</v>
      </c>
      <c r="F20" s="65">
        <f t="shared" si="3"/>
        <v>7341.4100000000008</v>
      </c>
      <c r="G20" s="65">
        <f t="shared" si="3"/>
        <v>7486.98</v>
      </c>
      <c r="H20" s="65">
        <f t="shared" si="3"/>
        <v>7614.3799999999992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1411</v>
      </c>
      <c r="C24" s="60">
        <v>1380</v>
      </c>
      <c r="D24" s="61">
        <v>1388</v>
      </c>
      <c r="E24" s="62">
        <v>1422.84</v>
      </c>
      <c r="F24" s="62">
        <v>1353.95</v>
      </c>
      <c r="G24" s="62">
        <v>1277.96</v>
      </c>
      <c r="H24" s="62">
        <v>1157.04</v>
      </c>
    </row>
    <row r="25" spans="1:8" ht="15" customHeight="1" x14ac:dyDescent="0.25">
      <c r="A25" s="56" t="s">
        <v>0</v>
      </c>
      <c r="B25" s="63">
        <v>3436</v>
      </c>
      <c r="C25" s="63">
        <v>3653</v>
      </c>
      <c r="D25" s="64">
        <v>3975</v>
      </c>
      <c r="E25" s="65">
        <v>3882.12</v>
      </c>
      <c r="F25" s="65">
        <v>3862.75</v>
      </c>
      <c r="G25" s="65">
        <v>3846.69</v>
      </c>
      <c r="H25" s="65">
        <v>3806.9</v>
      </c>
    </row>
    <row r="26" spans="1:8" ht="15" customHeight="1" x14ac:dyDescent="0.25">
      <c r="A26" s="56" t="s">
        <v>1</v>
      </c>
      <c r="B26" s="63">
        <v>970</v>
      </c>
      <c r="C26" s="63">
        <v>953</v>
      </c>
      <c r="D26" s="64">
        <v>1159</v>
      </c>
      <c r="E26" s="65">
        <v>1200.54</v>
      </c>
      <c r="F26" s="65">
        <v>1252.29</v>
      </c>
      <c r="G26" s="65">
        <v>1275.23</v>
      </c>
      <c r="H26" s="65">
        <v>1312.56</v>
      </c>
    </row>
    <row r="27" spans="1:8" ht="15" customHeight="1" x14ac:dyDescent="0.25">
      <c r="A27" s="56" t="s">
        <v>60</v>
      </c>
      <c r="B27" s="63">
        <v>370</v>
      </c>
      <c r="C27" s="63">
        <v>476</v>
      </c>
      <c r="D27" s="64">
        <v>439</v>
      </c>
      <c r="E27" s="65">
        <v>547.72</v>
      </c>
      <c r="F27" s="65">
        <v>620.16</v>
      </c>
      <c r="G27" s="65">
        <v>676.65</v>
      </c>
      <c r="H27" s="65">
        <v>748.57</v>
      </c>
    </row>
    <row r="28" spans="1:8" ht="15" customHeight="1" x14ac:dyDescent="0.25">
      <c r="A28" s="71" t="s">
        <v>61</v>
      </c>
      <c r="B28" s="72">
        <f t="shared" ref="B28:C28" si="4">SUM(B24:B27)</f>
        <v>6187</v>
      </c>
      <c r="C28" s="72">
        <f t="shared" si="4"/>
        <v>6462</v>
      </c>
      <c r="D28" s="73">
        <f>SUM(D24:D27)</f>
        <v>6961</v>
      </c>
      <c r="E28" s="72">
        <f t="shared" ref="E28:H28" si="5">SUM(E24:E27)</f>
        <v>7053.22</v>
      </c>
      <c r="F28" s="72">
        <f t="shared" si="5"/>
        <v>7089.15</v>
      </c>
      <c r="G28" s="72">
        <f t="shared" si="5"/>
        <v>7076.5299999999988</v>
      </c>
      <c r="H28" s="72">
        <f t="shared" si="5"/>
        <v>7025.07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CCDD-110A-45F1-8A70-8B2FCE698E1D}">
  <dimension ref="A1:L665"/>
  <sheetViews>
    <sheetView workbookViewId="0">
      <selection activeCell="E4" sqref="E4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66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15902</v>
      </c>
      <c r="C8" s="60">
        <v>17338</v>
      </c>
      <c r="D8" s="61">
        <v>19078</v>
      </c>
      <c r="E8" s="62">
        <v>20419</v>
      </c>
      <c r="F8" s="62">
        <v>21310.76</v>
      </c>
      <c r="G8" s="62">
        <v>21796.83</v>
      </c>
      <c r="H8" s="62">
        <v>22189.71</v>
      </c>
    </row>
    <row r="9" spans="1:12" ht="15" customHeight="1" x14ac:dyDescent="0.25">
      <c r="A9" s="56" t="s">
        <v>0</v>
      </c>
      <c r="B9" s="63">
        <v>37735</v>
      </c>
      <c r="C9" s="63">
        <v>44985</v>
      </c>
      <c r="D9" s="64">
        <v>52017</v>
      </c>
      <c r="E9" s="65">
        <v>53605.39</v>
      </c>
      <c r="F9" s="65">
        <v>55236</v>
      </c>
      <c r="G9" s="65">
        <v>57086.58</v>
      </c>
      <c r="H9" s="65">
        <v>58996.78</v>
      </c>
    </row>
    <row r="10" spans="1:12" ht="15" customHeight="1" x14ac:dyDescent="0.25">
      <c r="A10" s="56" t="s">
        <v>1</v>
      </c>
      <c r="B10" s="63">
        <v>7896</v>
      </c>
      <c r="C10" s="63">
        <v>8485</v>
      </c>
      <c r="D10" s="64">
        <v>10887</v>
      </c>
      <c r="E10" s="65">
        <v>11877.210000000001</v>
      </c>
      <c r="F10" s="65">
        <v>13255.97</v>
      </c>
      <c r="G10" s="65">
        <v>14598.310000000001</v>
      </c>
      <c r="H10" s="65">
        <v>15370.390000000001</v>
      </c>
    </row>
    <row r="11" spans="1:12" ht="15" customHeight="1" x14ac:dyDescent="0.25">
      <c r="A11" s="56" t="s">
        <v>60</v>
      </c>
      <c r="B11" s="63">
        <v>2952</v>
      </c>
      <c r="C11" s="63">
        <v>3842</v>
      </c>
      <c r="D11" s="64">
        <v>4219</v>
      </c>
      <c r="E11" s="65">
        <v>5066.1000000000004</v>
      </c>
      <c r="F11" s="65">
        <v>5938.9</v>
      </c>
      <c r="G11" s="65">
        <v>6640.64</v>
      </c>
      <c r="H11" s="65">
        <v>7610.92</v>
      </c>
    </row>
    <row r="12" spans="1:12" ht="15" customHeight="1" x14ac:dyDescent="0.25">
      <c r="A12" s="56" t="s">
        <v>61</v>
      </c>
      <c r="B12" s="65">
        <f t="shared" ref="B12:C12" si="0">SUM(B8:B11)</f>
        <v>64485</v>
      </c>
      <c r="C12" s="65">
        <f t="shared" si="0"/>
        <v>74650</v>
      </c>
      <c r="D12" s="64">
        <f>SUM(D8:D11)</f>
        <v>86201</v>
      </c>
      <c r="E12" s="65">
        <f t="shared" ref="E12:H12" si="1">SUM(E8:E11)</f>
        <v>90967.700000000012</v>
      </c>
      <c r="F12" s="65">
        <f t="shared" si="1"/>
        <v>95741.62999999999</v>
      </c>
      <c r="G12" s="65">
        <f t="shared" si="1"/>
        <v>100122.36</v>
      </c>
      <c r="H12" s="65">
        <f t="shared" si="1"/>
        <v>104167.79999999999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15902</v>
      </c>
      <c r="C16" s="60">
        <v>17338</v>
      </c>
      <c r="D16" s="61">
        <v>19078</v>
      </c>
      <c r="E16" s="62">
        <v>20642.09</v>
      </c>
      <c r="F16" s="62">
        <v>21789.38</v>
      </c>
      <c r="G16" s="62">
        <v>22483.91</v>
      </c>
      <c r="H16" s="62">
        <v>23183.37</v>
      </c>
    </row>
    <row r="17" spans="1:8" ht="15" customHeight="1" x14ac:dyDescent="0.25">
      <c r="A17" s="56" t="s">
        <v>0</v>
      </c>
      <c r="B17" s="63">
        <v>37735</v>
      </c>
      <c r="C17" s="63">
        <v>44985</v>
      </c>
      <c r="D17" s="64">
        <v>52017</v>
      </c>
      <c r="E17" s="65">
        <v>53855.94</v>
      </c>
      <c r="F17" s="65">
        <v>55893.93</v>
      </c>
      <c r="G17" s="65">
        <v>58233.71</v>
      </c>
      <c r="H17" s="65">
        <v>60814.14</v>
      </c>
    </row>
    <row r="18" spans="1:8" ht="15" customHeight="1" x14ac:dyDescent="0.25">
      <c r="A18" s="56" t="s">
        <v>1</v>
      </c>
      <c r="B18" s="63">
        <v>7896</v>
      </c>
      <c r="C18" s="63">
        <v>8485</v>
      </c>
      <c r="D18" s="64">
        <v>10887</v>
      </c>
      <c r="E18" s="65">
        <v>11893.249999999998</v>
      </c>
      <c r="F18" s="65">
        <v>13316.21</v>
      </c>
      <c r="G18" s="65">
        <v>14735.05</v>
      </c>
      <c r="H18" s="65">
        <v>15649.869999999999</v>
      </c>
    </row>
    <row r="19" spans="1:8" ht="15" customHeight="1" x14ac:dyDescent="0.25">
      <c r="A19" s="56" t="s">
        <v>60</v>
      </c>
      <c r="B19" s="63">
        <v>2952</v>
      </c>
      <c r="C19" s="63">
        <v>3842</v>
      </c>
      <c r="D19" s="64">
        <v>4219</v>
      </c>
      <c r="E19" s="65">
        <v>5073.67</v>
      </c>
      <c r="F19" s="65">
        <v>5970.36</v>
      </c>
      <c r="G19" s="65">
        <v>6721.93</v>
      </c>
      <c r="H19" s="65">
        <v>7790.07</v>
      </c>
    </row>
    <row r="20" spans="1:8" ht="15" customHeight="1" x14ac:dyDescent="0.25">
      <c r="A20" s="56" t="s">
        <v>61</v>
      </c>
      <c r="B20" s="65">
        <f t="shared" ref="B20:C20" si="2">SUM(B16:B19)</f>
        <v>64485</v>
      </c>
      <c r="C20" s="65">
        <f t="shared" si="2"/>
        <v>74650</v>
      </c>
      <c r="D20" s="64">
        <f>SUM(D16:D19)</f>
        <v>86201</v>
      </c>
      <c r="E20" s="65">
        <f t="shared" ref="E20:H20" si="3">SUM(E16:E19)</f>
        <v>91464.95</v>
      </c>
      <c r="F20" s="65">
        <f t="shared" si="3"/>
        <v>96969.87999999999</v>
      </c>
      <c r="G20" s="65">
        <f t="shared" si="3"/>
        <v>102174.6</v>
      </c>
      <c r="H20" s="65">
        <f t="shared" si="3"/>
        <v>107437.44999999998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15902</v>
      </c>
      <c r="C24" s="60">
        <v>17338</v>
      </c>
      <c r="D24" s="61">
        <v>19078</v>
      </c>
      <c r="E24" s="62">
        <v>20237.12</v>
      </c>
      <c r="F24" s="62">
        <v>20761.39</v>
      </c>
      <c r="G24" s="62">
        <v>20657.71</v>
      </c>
      <c r="H24" s="62">
        <v>20386.52</v>
      </c>
    </row>
    <row r="25" spans="1:8" ht="15" customHeight="1" x14ac:dyDescent="0.25">
      <c r="A25" s="56" t="s">
        <v>0</v>
      </c>
      <c r="B25" s="63">
        <v>37735</v>
      </c>
      <c r="C25" s="63">
        <v>44985</v>
      </c>
      <c r="D25" s="64">
        <v>52017</v>
      </c>
      <c r="E25" s="65">
        <v>53239.81</v>
      </c>
      <c r="F25" s="65">
        <v>54436.4</v>
      </c>
      <c r="G25" s="65">
        <v>55806.46</v>
      </c>
      <c r="H25" s="65">
        <v>57278.22</v>
      </c>
    </row>
    <row r="26" spans="1:8" ht="15" customHeight="1" x14ac:dyDescent="0.25">
      <c r="A26" s="56" t="s">
        <v>1</v>
      </c>
      <c r="B26" s="63">
        <v>7896</v>
      </c>
      <c r="C26" s="63">
        <v>8485</v>
      </c>
      <c r="D26" s="64">
        <v>10887</v>
      </c>
      <c r="E26" s="65">
        <v>11841.56</v>
      </c>
      <c r="F26" s="65">
        <v>13176.85</v>
      </c>
      <c r="G26" s="65">
        <v>14448.349999999999</v>
      </c>
      <c r="H26" s="65">
        <v>15130.199999999999</v>
      </c>
    </row>
    <row r="27" spans="1:8" ht="15" customHeight="1" x14ac:dyDescent="0.25">
      <c r="A27" s="56" t="s">
        <v>60</v>
      </c>
      <c r="B27" s="63">
        <v>2952</v>
      </c>
      <c r="C27" s="63">
        <v>3842</v>
      </c>
      <c r="D27" s="64">
        <v>4219</v>
      </c>
      <c r="E27" s="65">
        <v>5051.1000000000004</v>
      </c>
      <c r="F27" s="65">
        <v>5899.24</v>
      </c>
      <c r="G27" s="65">
        <v>6554.02</v>
      </c>
      <c r="H27" s="65">
        <v>7448.1</v>
      </c>
    </row>
    <row r="28" spans="1:8" ht="15" customHeight="1" x14ac:dyDescent="0.25">
      <c r="A28" s="71" t="s">
        <v>61</v>
      </c>
      <c r="B28" s="72">
        <f t="shared" ref="B28:C28" si="4">SUM(B24:B27)</f>
        <v>64485</v>
      </c>
      <c r="C28" s="72">
        <f t="shared" si="4"/>
        <v>74650</v>
      </c>
      <c r="D28" s="73">
        <f>SUM(D24:D27)</f>
        <v>86201</v>
      </c>
      <c r="E28" s="72">
        <f t="shared" ref="E28:H28" si="5">SUM(E24:E27)</f>
        <v>90369.59</v>
      </c>
      <c r="F28" s="72">
        <f t="shared" si="5"/>
        <v>94273.880000000019</v>
      </c>
      <c r="G28" s="72">
        <f t="shared" si="5"/>
        <v>97466.54</v>
      </c>
      <c r="H28" s="72">
        <f t="shared" si="5"/>
        <v>100243.04000000001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EA03-5E81-48BA-830D-18CD79AE8F3B}">
  <dimension ref="A1:L665"/>
  <sheetViews>
    <sheetView tabSelected="1" workbookViewId="0">
      <selection activeCell="C14" sqref="C14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67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22296</v>
      </c>
      <c r="C8" s="60">
        <v>24342</v>
      </c>
      <c r="D8" s="61">
        <v>27260</v>
      </c>
      <c r="E8" s="62">
        <v>27942.42</v>
      </c>
      <c r="F8" s="62">
        <v>28415.53</v>
      </c>
      <c r="G8" s="62">
        <v>28685.87</v>
      </c>
      <c r="H8" s="62">
        <v>28568.93</v>
      </c>
    </row>
    <row r="9" spans="1:12" ht="15" customHeight="1" x14ac:dyDescent="0.25">
      <c r="A9" s="56" t="s">
        <v>0</v>
      </c>
      <c r="B9" s="63">
        <v>71140</v>
      </c>
      <c r="C9" s="63">
        <v>81836</v>
      </c>
      <c r="D9" s="64">
        <v>92800</v>
      </c>
      <c r="E9" s="65">
        <v>94855.3</v>
      </c>
      <c r="F9" s="65">
        <v>97143.05</v>
      </c>
      <c r="G9" s="65">
        <v>99235.1</v>
      </c>
      <c r="H9" s="65">
        <v>100660.22</v>
      </c>
    </row>
    <row r="10" spans="1:12" ht="15" customHeight="1" x14ac:dyDescent="0.25">
      <c r="A10" s="56" t="s">
        <v>1</v>
      </c>
      <c r="B10" s="63">
        <v>14525</v>
      </c>
      <c r="C10" s="63">
        <v>13400</v>
      </c>
      <c r="D10" s="64">
        <v>13651</v>
      </c>
      <c r="E10" s="65">
        <v>14224.18</v>
      </c>
      <c r="F10" s="65">
        <v>15723.48</v>
      </c>
      <c r="G10" s="65">
        <v>17700.46</v>
      </c>
      <c r="H10" s="65">
        <v>19544.54</v>
      </c>
    </row>
    <row r="11" spans="1:12" ht="15" customHeight="1" x14ac:dyDescent="0.25">
      <c r="A11" s="56" t="s">
        <v>60</v>
      </c>
      <c r="B11" s="63">
        <v>6343</v>
      </c>
      <c r="C11" s="63">
        <v>7142</v>
      </c>
      <c r="D11" s="64">
        <v>6719</v>
      </c>
      <c r="E11" s="65">
        <v>6995.8</v>
      </c>
      <c r="F11" s="65">
        <v>7300.91</v>
      </c>
      <c r="G11" s="65">
        <v>7514.36</v>
      </c>
      <c r="H11" s="65">
        <v>8303.9699999999993</v>
      </c>
    </row>
    <row r="12" spans="1:12" ht="15" customHeight="1" x14ac:dyDescent="0.25">
      <c r="A12" s="56" t="s">
        <v>61</v>
      </c>
      <c r="B12" s="65">
        <f t="shared" ref="B12:C12" si="0">SUM(B8:B11)</f>
        <v>114304</v>
      </c>
      <c r="C12" s="65">
        <f t="shared" si="0"/>
        <v>126720</v>
      </c>
      <c r="D12" s="64">
        <f>SUM(D8:D11)</f>
        <v>140430</v>
      </c>
      <c r="E12" s="65">
        <f t="shared" ref="E12:H12" si="1">SUM(E8:E11)</f>
        <v>144017.69999999998</v>
      </c>
      <c r="F12" s="65">
        <f t="shared" si="1"/>
        <v>148582.97</v>
      </c>
      <c r="G12" s="65">
        <f t="shared" si="1"/>
        <v>153135.78999999998</v>
      </c>
      <c r="H12" s="65">
        <f t="shared" si="1"/>
        <v>157077.66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22296</v>
      </c>
      <c r="C16" s="60">
        <v>24342</v>
      </c>
      <c r="D16" s="61">
        <v>27260</v>
      </c>
      <c r="E16" s="62">
        <v>29840.31</v>
      </c>
      <c r="F16" s="62">
        <v>32316.3</v>
      </c>
      <c r="G16" s="62">
        <v>34710.94</v>
      </c>
      <c r="H16" s="62">
        <v>36969.18</v>
      </c>
    </row>
    <row r="17" spans="1:8" ht="15" customHeight="1" x14ac:dyDescent="0.25">
      <c r="A17" s="56" t="s">
        <v>0</v>
      </c>
      <c r="B17" s="63">
        <v>71140</v>
      </c>
      <c r="C17" s="63">
        <v>81836</v>
      </c>
      <c r="D17" s="64">
        <v>92800</v>
      </c>
      <c r="E17" s="65">
        <v>96006.2</v>
      </c>
      <c r="F17" s="65">
        <v>99851.21</v>
      </c>
      <c r="G17" s="65">
        <v>103688.66</v>
      </c>
      <c r="H17" s="65">
        <v>107093.08</v>
      </c>
    </row>
    <row r="18" spans="1:8" ht="15" customHeight="1" x14ac:dyDescent="0.25">
      <c r="A18" s="56" t="s">
        <v>1</v>
      </c>
      <c r="B18" s="63">
        <v>14525</v>
      </c>
      <c r="C18" s="63">
        <v>13400</v>
      </c>
      <c r="D18" s="64">
        <v>13651</v>
      </c>
      <c r="E18" s="65">
        <v>14244.41</v>
      </c>
      <c r="F18" s="65">
        <v>15780.960000000003</v>
      </c>
      <c r="G18" s="65">
        <v>17838.490000000002</v>
      </c>
      <c r="H18" s="65">
        <v>19856.54</v>
      </c>
    </row>
    <row r="19" spans="1:8" ht="15" customHeight="1" x14ac:dyDescent="0.25">
      <c r="A19" s="56" t="s">
        <v>60</v>
      </c>
      <c r="B19" s="63">
        <v>6343</v>
      </c>
      <c r="C19" s="63">
        <v>7142</v>
      </c>
      <c r="D19" s="64">
        <v>6719</v>
      </c>
      <c r="E19" s="65">
        <v>7002.84</v>
      </c>
      <c r="F19" s="65">
        <v>7322.78</v>
      </c>
      <c r="G19" s="65">
        <v>7574.53</v>
      </c>
      <c r="H19" s="65">
        <v>8456.2199999999993</v>
      </c>
    </row>
    <row r="20" spans="1:8" ht="15" customHeight="1" x14ac:dyDescent="0.25">
      <c r="A20" s="56" t="s">
        <v>61</v>
      </c>
      <c r="B20" s="65">
        <f t="shared" ref="B20:C20" si="2">SUM(B16:B19)</f>
        <v>114304</v>
      </c>
      <c r="C20" s="65">
        <f t="shared" si="2"/>
        <v>126720</v>
      </c>
      <c r="D20" s="64">
        <f>SUM(D16:D19)</f>
        <v>140430</v>
      </c>
      <c r="E20" s="65">
        <f t="shared" ref="E20:H20" si="3">SUM(E16:E19)</f>
        <v>147093.75999999998</v>
      </c>
      <c r="F20" s="65">
        <f t="shared" si="3"/>
        <v>155271.25</v>
      </c>
      <c r="G20" s="65">
        <f t="shared" si="3"/>
        <v>163812.62</v>
      </c>
      <c r="H20" s="65">
        <f t="shared" si="3"/>
        <v>172375.02000000002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22296</v>
      </c>
      <c r="C24" s="60">
        <v>24342</v>
      </c>
      <c r="D24" s="61">
        <v>27260</v>
      </c>
      <c r="E24" s="62">
        <v>29046.240000000002</v>
      </c>
      <c r="F24" s="62">
        <v>30123.45</v>
      </c>
      <c r="G24" s="62">
        <v>30509.53</v>
      </c>
      <c r="H24" s="62">
        <v>30263.57</v>
      </c>
    </row>
    <row r="25" spans="1:8" ht="15" customHeight="1" x14ac:dyDescent="0.25">
      <c r="A25" s="56" t="s">
        <v>0</v>
      </c>
      <c r="B25" s="63">
        <v>71140</v>
      </c>
      <c r="C25" s="63">
        <v>81836</v>
      </c>
      <c r="D25" s="64">
        <v>92800</v>
      </c>
      <c r="E25" s="65">
        <v>93533.05</v>
      </c>
      <c r="F25" s="65">
        <v>93804.99</v>
      </c>
      <c r="G25" s="65">
        <v>93819.9</v>
      </c>
      <c r="H25" s="65">
        <v>93267</v>
      </c>
    </row>
    <row r="26" spans="1:8" ht="15" customHeight="1" x14ac:dyDescent="0.25">
      <c r="A26" s="56" t="s">
        <v>1</v>
      </c>
      <c r="B26" s="63">
        <v>14525</v>
      </c>
      <c r="C26" s="63">
        <v>13400</v>
      </c>
      <c r="D26" s="64">
        <v>13651</v>
      </c>
      <c r="E26" s="65">
        <v>14214.04</v>
      </c>
      <c r="F26" s="65">
        <v>15634.76</v>
      </c>
      <c r="G26" s="65">
        <v>17454.829999999998</v>
      </c>
      <c r="H26" s="65">
        <v>19057.28</v>
      </c>
    </row>
    <row r="27" spans="1:8" ht="15" customHeight="1" x14ac:dyDescent="0.25">
      <c r="A27" s="56" t="s">
        <v>60</v>
      </c>
      <c r="B27" s="63">
        <v>6343</v>
      </c>
      <c r="C27" s="63">
        <v>7142</v>
      </c>
      <c r="D27" s="64">
        <v>6719</v>
      </c>
      <c r="E27" s="65">
        <v>6993.8</v>
      </c>
      <c r="F27" s="65">
        <v>7270.15</v>
      </c>
      <c r="G27" s="65">
        <v>7416.56</v>
      </c>
      <c r="H27" s="65">
        <v>8084.61</v>
      </c>
    </row>
    <row r="28" spans="1:8" ht="15" customHeight="1" x14ac:dyDescent="0.25">
      <c r="A28" s="71" t="s">
        <v>61</v>
      </c>
      <c r="B28" s="72">
        <f t="shared" ref="B28:C28" si="4">SUM(B24:B27)</f>
        <v>114304</v>
      </c>
      <c r="C28" s="72">
        <f t="shared" si="4"/>
        <v>126720</v>
      </c>
      <c r="D28" s="73">
        <f>SUM(D24:D27)</f>
        <v>140430</v>
      </c>
      <c r="E28" s="72">
        <f t="shared" ref="E28:H28" si="5">SUM(E24:E27)</f>
        <v>143787.13</v>
      </c>
      <c r="F28" s="72">
        <f t="shared" si="5"/>
        <v>146833.35</v>
      </c>
      <c r="G28" s="72">
        <f t="shared" si="5"/>
        <v>149200.81999999998</v>
      </c>
      <c r="H28" s="72">
        <f t="shared" si="5"/>
        <v>150672.46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7EB5-35E5-41BF-A270-0F0D35112AFE}">
  <dimension ref="A1:L665"/>
  <sheetViews>
    <sheetView workbookViewId="0">
      <selection activeCell="E4" sqref="E4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68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4931</v>
      </c>
      <c r="C8" s="60">
        <v>5361</v>
      </c>
      <c r="D8" s="61">
        <v>6432</v>
      </c>
      <c r="E8" s="62">
        <v>6853.78</v>
      </c>
      <c r="F8" s="62">
        <v>7137.71</v>
      </c>
      <c r="G8" s="62">
        <v>7424.88</v>
      </c>
      <c r="H8" s="62">
        <v>7781.24</v>
      </c>
    </row>
    <row r="9" spans="1:12" ht="15" customHeight="1" x14ac:dyDescent="0.25">
      <c r="A9" s="56" t="s">
        <v>0</v>
      </c>
      <c r="B9" s="63">
        <v>12463</v>
      </c>
      <c r="C9" s="63">
        <v>13779</v>
      </c>
      <c r="D9" s="64">
        <v>16832</v>
      </c>
      <c r="E9" s="65">
        <v>18271.439999999999</v>
      </c>
      <c r="F9" s="65">
        <v>19401.5</v>
      </c>
      <c r="G9" s="65">
        <v>20548.14</v>
      </c>
      <c r="H9" s="65">
        <v>21514.93</v>
      </c>
    </row>
    <row r="10" spans="1:12" ht="15" customHeight="1" x14ac:dyDescent="0.25">
      <c r="A10" s="56" t="s">
        <v>1</v>
      </c>
      <c r="B10" s="63">
        <v>1885</v>
      </c>
      <c r="C10" s="63">
        <v>2586</v>
      </c>
      <c r="D10" s="64">
        <v>3337</v>
      </c>
      <c r="E10" s="65">
        <v>3481.7200000000003</v>
      </c>
      <c r="F10" s="65">
        <v>3945.8500000000004</v>
      </c>
      <c r="G10" s="65">
        <v>4496.1500000000005</v>
      </c>
      <c r="H10" s="65">
        <v>5043.79</v>
      </c>
    </row>
    <row r="11" spans="1:12" ht="15" customHeight="1" x14ac:dyDescent="0.25">
      <c r="A11" s="56" t="s">
        <v>60</v>
      </c>
      <c r="B11" s="63">
        <v>463</v>
      </c>
      <c r="C11" s="63">
        <v>808</v>
      </c>
      <c r="D11" s="64">
        <v>1315</v>
      </c>
      <c r="E11" s="65">
        <v>1653.59</v>
      </c>
      <c r="F11" s="65">
        <v>1935.49</v>
      </c>
      <c r="G11" s="65">
        <v>2088.12</v>
      </c>
      <c r="H11" s="65">
        <v>2324.83</v>
      </c>
    </row>
    <row r="12" spans="1:12" ht="15" customHeight="1" x14ac:dyDescent="0.25">
      <c r="A12" s="56" t="s">
        <v>61</v>
      </c>
      <c r="B12" s="65">
        <f t="shared" ref="B12:C12" si="0">SUM(B8:B11)</f>
        <v>19742</v>
      </c>
      <c r="C12" s="65">
        <f t="shared" si="0"/>
        <v>22534</v>
      </c>
      <c r="D12" s="64">
        <f>SUM(D8:D11)</f>
        <v>27916</v>
      </c>
      <c r="E12" s="65">
        <f t="shared" ref="E12:H12" si="1">SUM(E8:E11)</f>
        <v>30260.53</v>
      </c>
      <c r="F12" s="65">
        <f t="shared" si="1"/>
        <v>32420.55</v>
      </c>
      <c r="G12" s="65">
        <f t="shared" si="1"/>
        <v>34557.29</v>
      </c>
      <c r="H12" s="65">
        <f t="shared" si="1"/>
        <v>36664.79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4931</v>
      </c>
      <c r="C16" s="60">
        <v>5361</v>
      </c>
      <c r="D16" s="61">
        <v>6432</v>
      </c>
      <c r="E16" s="62">
        <v>6854.65</v>
      </c>
      <c r="F16" s="62">
        <v>7265.24</v>
      </c>
      <c r="G16" s="62">
        <v>7802.76</v>
      </c>
      <c r="H16" s="62">
        <v>8438.77</v>
      </c>
    </row>
    <row r="17" spans="1:8" ht="15" customHeight="1" x14ac:dyDescent="0.25">
      <c r="A17" s="56" t="s">
        <v>0</v>
      </c>
      <c r="B17" s="63">
        <v>12463</v>
      </c>
      <c r="C17" s="63">
        <v>13779</v>
      </c>
      <c r="D17" s="64">
        <v>16832</v>
      </c>
      <c r="E17" s="65">
        <v>18384.13</v>
      </c>
      <c r="F17" s="65">
        <v>19672.669999999998</v>
      </c>
      <c r="G17" s="65">
        <v>21013.01</v>
      </c>
      <c r="H17" s="65">
        <v>22209</v>
      </c>
    </row>
    <row r="18" spans="1:8" ht="15" customHeight="1" x14ac:dyDescent="0.25">
      <c r="A18" s="56" t="s">
        <v>1</v>
      </c>
      <c r="B18" s="63">
        <v>1885</v>
      </c>
      <c r="C18" s="63">
        <v>2586</v>
      </c>
      <c r="D18" s="64">
        <v>3337</v>
      </c>
      <c r="E18" s="65">
        <v>3486.3200000000006</v>
      </c>
      <c r="F18" s="65">
        <v>3959.47</v>
      </c>
      <c r="G18" s="65">
        <v>4526.43</v>
      </c>
      <c r="H18" s="65">
        <v>5102.83</v>
      </c>
    </row>
    <row r="19" spans="1:8" ht="15" customHeight="1" x14ac:dyDescent="0.25">
      <c r="A19" s="56" t="s">
        <v>60</v>
      </c>
      <c r="B19" s="63">
        <v>463</v>
      </c>
      <c r="C19" s="63">
        <v>808</v>
      </c>
      <c r="D19" s="64">
        <v>1315</v>
      </c>
      <c r="E19" s="65">
        <v>1655.61</v>
      </c>
      <c r="F19" s="65">
        <v>1942.85</v>
      </c>
      <c r="G19" s="65">
        <v>2106.81</v>
      </c>
      <c r="H19" s="65">
        <v>2364.69</v>
      </c>
    </row>
    <row r="20" spans="1:8" ht="15" customHeight="1" x14ac:dyDescent="0.25">
      <c r="A20" s="56" t="s">
        <v>61</v>
      </c>
      <c r="B20" s="65">
        <f t="shared" ref="B20:C20" si="2">SUM(B16:B19)</f>
        <v>19742</v>
      </c>
      <c r="C20" s="65">
        <f t="shared" si="2"/>
        <v>22534</v>
      </c>
      <c r="D20" s="64">
        <f>SUM(D16:D19)</f>
        <v>27916</v>
      </c>
      <c r="E20" s="65">
        <f t="shared" ref="E20:H20" si="3">SUM(E16:E19)</f>
        <v>30380.71</v>
      </c>
      <c r="F20" s="65">
        <f t="shared" si="3"/>
        <v>32840.229999999996</v>
      </c>
      <c r="G20" s="65">
        <f t="shared" si="3"/>
        <v>35449.009999999995</v>
      </c>
      <c r="H20" s="65">
        <f t="shared" si="3"/>
        <v>38115.29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4931</v>
      </c>
      <c r="C24" s="60">
        <v>5361</v>
      </c>
      <c r="D24" s="61">
        <v>6432</v>
      </c>
      <c r="E24" s="62">
        <v>6723.34</v>
      </c>
      <c r="F24" s="62">
        <v>6906.43</v>
      </c>
      <c r="G24" s="62">
        <v>7122.79</v>
      </c>
      <c r="H24" s="62">
        <v>7362.94</v>
      </c>
    </row>
    <row r="25" spans="1:8" ht="15" customHeight="1" x14ac:dyDescent="0.25">
      <c r="A25" s="56" t="s">
        <v>0</v>
      </c>
      <c r="B25" s="63">
        <v>12463</v>
      </c>
      <c r="C25" s="63">
        <v>13779</v>
      </c>
      <c r="D25" s="64">
        <v>16832</v>
      </c>
      <c r="E25" s="65">
        <v>18140.900000000001</v>
      </c>
      <c r="F25" s="65">
        <v>19070.3</v>
      </c>
      <c r="G25" s="65">
        <v>19989.18</v>
      </c>
      <c r="H25" s="65">
        <v>20718.43</v>
      </c>
    </row>
    <row r="26" spans="1:8" ht="15" customHeight="1" x14ac:dyDescent="0.25">
      <c r="A26" s="56" t="s">
        <v>1</v>
      </c>
      <c r="B26" s="63">
        <v>1885</v>
      </c>
      <c r="C26" s="63">
        <v>2586</v>
      </c>
      <c r="D26" s="64">
        <v>3337</v>
      </c>
      <c r="E26" s="65">
        <v>3477.4500000000007</v>
      </c>
      <c r="F26" s="65">
        <v>3928.9300000000003</v>
      </c>
      <c r="G26" s="65">
        <v>4456.1400000000003</v>
      </c>
      <c r="H26" s="65">
        <v>4968.8</v>
      </c>
    </row>
    <row r="27" spans="1:8" ht="15" customHeight="1" x14ac:dyDescent="0.25">
      <c r="A27" s="56" t="s">
        <v>60</v>
      </c>
      <c r="B27" s="63">
        <v>463</v>
      </c>
      <c r="C27" s="63">
        <v>808</v>
      </c>
      <c r="D27" s="64">
        <v>1315</v>
      </c>
      <c r="E27" s="65">
        <v>1651.82</v>
      </c>
      <c r="F27" s="65">
        <v>1927.13</v>
      </c>
      <c r="G27" s="65">
        <v>2065.92</v>
      </c>
      <c r="H27" s="65">
        <v>2278.46</v>
      </c>
    </row>
    <row r="28" spans="1:8" ht="15" customHeight="1" x14ac:dyDescent="0.25">
      <c r="A28" s="71" t="s">
        <v>61</v>
      </c>
      <c r="B28" s="72">
        <f t="shared" ref="B28:C28" si="4">SUM(B24:B27)</f>
        <v>19742</v>
      </c>
      <c r="C28" s="72">
        <f t="shared" si="4"/>
        <v>22534</v>
      </c>
      <c r="D28" s="73">
        <f>SUM(D24:D27)</f>
        <v>27916</v>
      </c>
      <c r="E28" s="72">
        <f t="shared" ref="E28:H28" si="5">SUM(E24:E27)</f>
        <v>29993.510000000002</v>
      </c>
      <c r="F28" s="72">
        <f t="shared" si="5"/>
        <v>31832.79</v>
      </c>
      <c r="G28" s="72">
        <f t="shared" si="5"/>
        <v>33634.03</v>
      </c>
      <c r="H28" s="72">
        <f t="shared" si="5"/>
        <v>35328.629999999997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8586-0663-43E1-80F2-DC1EAB4A7249}">
  <dimension ref="A1:L665"/>
  <sheetViews>
    <sheetView workbookViewId="0">
      <selection activeCell="E4" sqref="E4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69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11436</v>
      </c>
      <c r="C8" s="60">
        <v>12611</v>
      </c>
      <c r="D8" s="61">
        <v>13422</v>
      </c>
      <c r="E8" s="62">
        <v>14502.18</v>
      </c>
      <c r="F8" s="62">
        <v>15237.38</v>
      </c>
      <c r="G8" s="62">
        <v>15794.53</v>
      </c>
      <c r="H8" s="62">
        <v>16112.26</v>
      </c>
    </row>
    <row r="9" spans="1:12" ht="15" customHeight="1" x14ac:dyDescent="0.25">
      <c r="A9" s="56" t="s">
        <v>0</v>
      </c>
      <c r="B9" s="63">
        <v>31376</v>
      </c>
      <c r="C9" s="63">
        <v>33840</v>
      </c>
      <c r="D9" s="64">
        <v>37529</v>
      </c>
      <c r="E9" s="65">
        <v>38579.550000000003</v>
      </c>
      <c r="F9" s="65">
        <v>39309.730000000003</v>
      </c>
      <c r="G9" s="65">
        <v>40079.54</v>
      </c>
      <c r="H9" s="65">
        <v>40688.04</v>
      </c>
    </row>
    <row r="10" spans="1:12" ht="15" customHeight="1" x14ac:dyDescent="0.25">
      <c r="A10" s="56" t="s">
        <v>1</v>
      </c>
      <c r="B10" s="63">
        <v>5967</v>
      </c>
      <c r="C10" s="63">
        <v>7467</v>
      </c>
      <c r="D10" s="64">
        <v>8748</v>
      </c>
      <c r="E10" s="65">
        <v>8911.619999999999</v>
      </c>
      <c r="F10" s="65">
        <v>9642.3700000000008</v>
      </c>
      <c r="G10" s="65">
        <v>10452.43</v>
      </c>
      <c r="H10" s="65">
        <v>10954.98</v>
      </c>
    </row>
    <row r="11" spans="1:12" ht="15" customHeight="1" x14ac:dyDescent="0.25">
      <c r="A11" s="56" t="s">
        <v>60</v>
      </c>
      <c r="B11" s="63">
        <v>2260</v>
      </c>
      <c r="C11" s="63">
        <v>3047</v>
      </c>
      <c r="D11" s="64">
        <v>3735</v>
      </c>
      <c r="E11" s="65">
        <v>4670.8599999999997</v>
      </c>
      <c r="F11" s="65">
        <v>5431.49</v>
      </c>
      <c r="G11" s="65">
        <v>5778.87</v>
      </c>
      <c r="H11" s="65">
        <v>6239.62</v>
      </c>
    </row>
    <row r="12" spans="1:12" ht="15" customHeight="1" x14ac:dyDescent="0.25">
      <c r="A12" s="56" t="s">
        <v>61</v>
      </c>
      <c r="B12" s="65">
        <f t="shared" ref="B12:C12" si="0">SUM(B8:B11)</f>
        <v>51039</v>
      </c>
      <c r="C12" s="65">
        <f t="shared" si="0"/>
        <v>56965</v>
      </c>
      <c r="D12" s="64">
        <f>SUM(D8:D11)</f>
        <v>63434</v>
      </c>
      <c r="E12" s="65">
        <f t="shared" ref="E12:H12" si="1">SUM(E8:E11)</f>
        <v>66664.210000000006</v>
      </c>
      <c r="F12" s="65">
        <f t="shared" si="1"/>
        <v>69620.97</v>
      </c>
      <c r="G12" s="65">
        <f t="shared" si="1"/>
        <v>72105.37</v>
      </c>
      <c r="H12" s="65">
        <f t="shared" si="1"/>
        <v>73994.899999999994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11436</v>
      </c>
      <c r="C16" s="60">
        <v>12611</v>
      </c>
      <c r="D16" s="61">
        <v>13422</v>
      </c>
      <c r="E16" s="62">
        <v>14473.94</v>
      </c>
      <c r="F16" s="62">
        <v>15260.04</v>
      </c>
      <c r="G16" s="62">
        <v>15986.92</v>
      </c>
      <c r="H16" s="62">
        <v>16499.759999999998</v>
      </c>
    </row>
    <row r="17" spans="1:8" ht="15" customHeight="1" x14ac:dyDescent="0.25">
      <c r="A17" s="56" t="s">
        <v>0</v>
      </c>
      <c r="B17" s="63">
        <v>31376</v>
      </c>
      <c r="C17" s="63">
        <v>33840</v>
      </c>
      <c r="D17" s="64">
        <v>37529</v>
      </c>
      <c r="E17" s="65">
        <v>38858.230000000003</v>
      </c>
      <c r="F17" s="65">
        <v>40020.82</v>
      </c>
      <c r="G17" s="65">
        <v>41298.370000000003</v>
      </c>
      <c r="H17" s="65">
        <v>42310.33</v>
      </c>
    </row>
    <row r="18" spans="1:8" ht="15" customHeight="1" x14ac:dyDescent="0.25">
      <c r="A18" s="56" t="s">
        <v>1</v>
      </c>
      <c r="B18" s="63">
        <v>5967</v>
      </c>
      <c r="C18" s="63">
        <v>7467</v>
      </c>
      <c r="D18" s="64">
        <v>8748</v>
      </c>
      <c r="E18" s="65">
        <v>8930.99</v>
      </c>
      <c r="F18" s="65">
        <v>9706.5500000000011</v>
      </c>
      <c r="G18" s="65">
        <v>10589.69</v>
      </c>
      <c r="H18" s="65">
        <v>11156.499999999998</v>
      </c>
    </row>
    <row r="19" spans="1:8" ht="15" customHeight="1" x14ac:dyDescent="0.25">
      <c r="A19" s="56" t="s">
        <v>60</v>
      </c>
      <c r="B19" s="63">
        <v>2260</v>
      </c>
      <c r="C19" s="63">
        <v>3047</v>
      </c>
      <c r="D19" s="64">
        <v>3735</v>
      </c>
      <c r="E19" s="65">
        <v>4679.1499999999996</v>
      </c>
      <c r="F19" s="65">
        <v>5463.32</v>
      </c>
      <c r="G19" s="65">
        <v>5855.6</v>
      </c>
      <c r="H19" s="65">
        <v>6374.35</v>
      </c>
    </row>
    <row r="20" spans="1:8" ht="15" customHeight="1" x14ac:dyDescent="0.25">
      <c r="A20" s="56" t="s">
        <v>61</v>
      </c>
      <c r="B20" s="65">
        <f t="shared" ref="B20:C20" si="2">SUM(B16:B19)</f>
        <v>51039</v>
      </c>
      <c r="C20" s="65">
        <f t="shared" si="2"/>
        <v>56965</v>
      </c>
      <c r="D20" s="64">
        <f>SUM(D16:D19)</f>
        <v>63434</v>
      </c>
      <c r="E20" s="65">
        <f t="shared" ref="E20:H20" si="3">SUM(E16:E19)</f>
        <v>66942.31</v>
      </c>
      <c r="F20" s="65">
        <f t="shared" si="3"/>
        <v>70450.73000000001</v>
      </c>
      <c r="G20" s="65">
        <f t="shared" si="3"/>
        <v>73730.58</v>
      </c>
      <c r="H20" s="65">
        <f t="shared" si="3"/>
        <v>76340.94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11436</v>
      </c>
      <c r="C24" s="60">
        <v>12611</v>
      </c>
      <c r="D24" s="61">
        <v>13422</v>
      </c>
      <c r="E24" s="62">
        <v>14109.42</v>
      </c>
      <c r="F24" s="62">
        <v>14348.21</v>
      </c>
      <c r="G24" s="62">
        <v>14389.36</v>
      </c>
      <c r="H24" s="62">
        <v>14211.26</v>
      </c>
    </row>
    <row r="25" spans="1:8" ht="15" customHeight="1" x14ac:dyDescent="0.25">
      <c r="A25" s="56" t="s">
        <v>0</v>
      </c>
      <c r="B25" s="63">
        <v>31376</v>
      </c>
      <c r="C25" s="63">
        <v>33840</v>
      </c>
      <c r="D25" s="64">
        <v>37529</v>
      </c>
      <c r="E25" s="65">
        <v>38181.26</v>
      </c>
      <c r="F25" s="65">
        <v>38453.85</v>
      </c>
      <c r="G25" s="65">
        <v>38799.22</v>
      </c>
      <c r="H25" s="65">
        <v>39076.379999999997</v>
      </c>
    </row>
    <row r="26" spans="1:8" ht="15" customHeight="1" x14ac:dyDescent="0.25">
      <c r="A26" s="56" t="s">
        <v>1</v>
      </c>
      <c r="B26" s="63">
        <v>5967</v>
      </c>
      <c r="C26" s="63">
        <v>7467</v>
      </c>
      <c r="D26" s="64">
        <v>8748</v>
      </c>
      <c r="E26" s="65">
        <v>8872.619999999999</v>
      </c>
      <c r="F26" s="65">
        <v>9559.6500000000015</v>
      </c>
      <c r="G26" s="65">
        <v>10319.57</v>
      </c>
      <c r="H26" s="65">
        <v>10772.2</v>
      </c>
    </row>
    <row r="27" spans="1:8" ht="15" customHeight="1" x14ac:dyDescent="0.25">
      <c r="A27" s="56" t="s">
        <v>60</v>
      </c>
      <c r="B27" s="63">
        <v>2260</v>
      </c>
      <c r="C27" s="63">
        <v>3047</v>
      </c>
      <c r="D27" s="64">
        <v>3735</v>
      </c>
      <c r="E27" s="65">
        <v>4654.95</v>
      </c>
      <c r="F27" s="65">
        <v>5391.63</v>
      </c>
      <c r="G27" s="65">
        <v>5702.81</v>
      </c>
      <c r="H27" s="65">
        <v>6111.62</v>
      </c>
    </row>
    <row r="28" spans="1:8" ht="15" customHeight="1" x14ac:dyDescent="0.25">
      <c r="A28" s="71" t="s">
        <v>61</v>
      </c>
      <c r="B28" s="72">
        <f t="shared" ref="B28:C28" si="4">SUM(B24:B27)</f>
        <v>51039</v>
      </c>
      <c r="C28" s="72">
        <f t="shared" si="4"/>
        <v>56965</v>
      </c>
      <c r="D28" s="73">
        <f>SUM(D24:D27)</f>
        <v>63434</v>
      </c>
      <c r="E28" s="72">
        <f t="shared" ref="E28:H28" si="5">SUM(E24:E27)</f>
        <v>65818.25</v>
      </c>
      <c r="F28" s="72">
        <f t="shared" si="5"/>
        <v>67753.34</v>
      </c>
      <c r="G28" s="72">
        <f t="shared" si="5"/>
        <v>69210.960000000006</v>
      </c>
      <c r="H28" s="72">
        <f t="shared" si="5"/>
        <v>70171.459999999992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A85F-F97C-40BC-B37D-E89AC30FD8EE}">
  <dimension ref="A1:L665"/>
  <sheetViews>
    <sheetView workbookViewId="0">
      <selection activeCell="E4" sqref="E4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70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15550</v>
      </c>
      <c r="C8" s="60">
        <v>17506</v>
      </c>
      <c r="D8" s="61">
        <v>18590</v>
      </c>
      <c r="E8" s="62">
        <v>19644.11</v>
      </c>
      <c r="F8" s="62">
        <v>20382.580000000002</v>
      </c>
      <c r="G8" s="62">
        <v>20930.87</v>
      </c>
      <c r="H8" s="62">
        <v>21319.11</v>
      </c>
    </row>
    <row r="9" spans="1:12" ht="15" customHeight="1" x14ac:dyDescent="0.25">
      <c r="A9" s="56" t="s">
        <v>0</v>
      </c>
      <c r="B9" s="63">
        <v>39183</v>
      </c>
      <c r="C9" s="63">
        <v>44640</v>
      </c>
      <c r="D9" s="64">
        <v>51650</v>
      </c>
      <c r="E9" s="65">
        <v>53963</v>
      </c>
      <c r="F9" s="65">
        <v>55375.82</v>
      </c>
      <c r="G9" s="65">
        <v>56268.65</v>
      </c>
      <c r="H9" s="65">
        <v>56893.39</v>
      </c>
    </row>
    <row r="10" spans="1:12" ht="15" customHeight="1" x14ac:dyDescent="0.25">
      <c r="A10" s="56" t="s">
        <v>1</v>
      </c>
      <c r="B10" s="63">
        <v>6203</v>
      </c>
      <c r="C10" s="63">
        <v>8031</v>
      </c>
      <c r="D10" s="64">
        <v>10291</v>
      </c>
      <c r="E10" s="65">
        <v>10932.81</v>
      </c>
      <c r="F10" s="65">
        <v>12252.470000000001</v>
      </c>
      <c r="G10" s="65">
        <v>14084.29</v>
      </c>
      <c r="H10" s="65">
        <v>15428.900000000001</v>
      </c>
    </row>
    <row r="11" spans="1:12" ht="15" customHeight="1" x14ac:dyDescent="0.25">
      <c r="A11" s="56" t="s">
        <v>60</v>
      </c>
      <c r="B11" s="63">
        <v>2360</v>
      </c>
      <c r="C11" s="63">
        <v>3145</v>
      </c>
      <c r="D11" s="64">
        <v>4030</v>
      </c>
      <c r="E11" s="65">
        <v>5168.5</v>
      </c>
      <c r="F11" s="65">
        <v>6278.5</v>
      </c>
      <c r="G11" s="65">
        <v>6864.59</v>
      </c>
      <c r="H11" s="65">
        <v>7656.89</v>
      </c>
    </row>
    <row r="12" spans="1:12" ht="15" customHeight="1" x14ac:dyDescent="0.25">
      <c r="A12" s="56" t="s">
        <v>61</v>
      </c>
      <c r="B12" s="65">
        <f t="shared" ref="B12:C12" si="0">SUM(B8:B11)</f>
        <v>63296</v>
      </c>
      <c r="C12" s="65">
        <f t="shared" si="0"/>
        <v>73322</v>
      </c>
      <c r="D12" s="64">
        <f>SUM(D8:D11)</f>
        <v>84561</v>
      </c>
      <c r="E12" s="65">
        <f t="shared" ref="E12:H12" si="1">SUM(E8:E11)</f>
        <v>89708.42</v>
      </c>
      <c r="F12" s="65">
        <f t="shared" si="1"/>
        <v>94289.37</v>
      </c>
      <c r="G12" s="65">
        <f t="shared" si="1"/>
        <v>98148.4</v>
      </c>
      <c r="H12" s="65">
        <f t="shared" si="1"/>
        <v>101298.29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15550</v>
      </c>
      <c r="C16" s="60">
        <v>17506</v>
      </c>
      <c r="D16" s="61">
        <v>18590</v>
      </c>
      <c r="E16" s="62">
        <v>19570.939999999999</v>
      </c>
      <c r="F16" s="62">
        <v>20484.310000000001</v>
      </c>
      <c r="G16" s="62">
        <v>21364.65</v>
      </c>
      <c r="H16" s="62">
        <v>22039.26</v>
      </c>
    </row>
    <row r="17" spans="1:8" ht="15" customHeight="1" x14ac:dyDescent="0.25">
      <c r="A17" s="56" t="s">
        <v>0</v>
      </c>
      <c r="B17" s="63">
        <v>39183</v>
      </c>
      <c r="C17" s="63">
        <v>44640</v>
      </c>
      <c r="D17" s="64">
        <v>51650</v>
      </c>
      <c r="E17" s="65">
        <v>54299.89</v>
      </c>
      <c r="F17" s="65">
        <v>56187.64</v>
      </c>
      <c r="G17" s="65">
        <v>57570.1</v>
      </c>
      <c r="H17" s="65">
        <v>58584.76</v>
      </c>
    </row>
    <row r="18" spans="1:8" ht="15" customHeight="1" x14ac:dyDescent="0.25">
      <c r="A18" s="56" t="s">
        <v>1</v>
      </c>
      <c r="B18" s="63">
        <v>6203</v>
      </c>
      <c r="C18" s="63">
        <v>8031</v>
      </c>
      <c r="D18" s="64">
        <v>10291</v>
      </c>
      <c r="E18" s="65">
        <v>10957.42</v>
      </c>
      <c r="F18" s="65">
        <v>12325.929999999998</v>
      </c>
      <c r="G18" s="65">
        <v>14226.55</v>
      </c>
      <c r="H18" s="65">
        <v>15633.210000000001</v>
      </c>
    </row>
    <row r="19" spans="1:8" ht="15" customHeight="1" x14ac:dyDescent="0.25">
      <c r="A19" s="56" t="s">
        <v>60</v>
      </c>
      <c r="B19" s="63">
        <v>2360</v>
      </c>
      <c r="C19" s="63">
        <v>3145</v>
      </c>
      <c r="D19" s="64">
        <v>4030</v>
      </c>
      <c r="E19" s="65">
        <v>5178.91</v>
      </c>
      <c r="F19" s="65">
        <v>6314.85</v>
      </c>
      <c r="G19" s="65">
        <v>6947.98</v>
      </c>
      <c r="H19" s="65">
        <v>7802.6</v>
      </c>
    </row>
    <row r="20" spans="1:8" ht="15" customHeight="1" x14ac:dyDescent="0.25">
      <c r="A20" s="56" t="s">
        <v>61</v>
      </c>
      <c r="B20" s="65">
        <f t="shared" ref="B20:C20" si="2">SUM(B16:B19)</f>
        <v>63296</v>
      </c>
      <c r="C20" s="65">
        <f t="shared" si="2"/>
        <v>73322</v>
      </c>
      <c r="D20" s="64">
        <f>SUM(D16:D19)</f>
        <v>84561</v>
      </c>
      <c r="E20" s="65">
        <f t="shared" ref="E20:H20" si="3">SUM(E16:E19)</f>
        <v>90007.16</v>
      </c>
      <c r="F20" s="65">
        <f t="shared" si="3"/>
        <v>95312.73</v>
      </c>
      <c r="G20" s="65">
        <f t="shared" si="3"/>
        <v>100109.28</v>
      </c>
      <c r="H20" s="65">
        <f t="shared" si="3"/>
        <v>104059.83000000002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15550</v>
      </c>
      <c r="C24" s="60">
        <v>17506</v>
      </c>
      <c r="D24" s="61">
        <v>18590</v>
      </c>
      <c r="E24" s="62">
        <v>19133.63</v>
      </c>
      <c r="F24" s="62">
        <v>19409.37</v>
      </c>
      <c r="G24" s="62">
        <v>19525.46</v>
      </c>
      <c r="H24" s="62">
        <v>19415.21</v>
      </c>
    </row>
    <row r="25" spans="1:8" ht="15" customHeight="1" x14ac:dyDescent="0.25">
      <c r="A25" s="56" t="s">
        <v>0</v>
      </c>
      <c r="B25" s="63">
        <v>39183</v>
      </c>
      <c r="C25" s="63">
        <v>44640</v>
      </c>
      <c r="D25" s="64">
        <v>51650</v>
      </c>
      <c r="E25" s="65">
        <v>53523.61</v>
      </c>
      <c r="F25" s="65">
        <v>54453.43</v>
      </c>
      <c r="G25" s="65">
        <v>54916.3</v>
      </c>
      <c r="H25" s="65">
        <v>55197.87</v>
      </c>
    </row>
    <row r="26" spans="1:8" ht="15" customHeight="1" x14ac:dyDescent="0.25">
      <c r="A26" s="56" t="s">
        <v>1</v>
      </c>
      <c r="B26" s="63">
        <v>6203</v>
      </c>
      <c r="C26" s="63">
        <v>8031</v>
      </c>
      <c r="D26" s="64">
        <v>10291</v>
      </c>
      <c r="E26" s="65">
        <v>10896.16</v>
      </c>
      <c r="F26" s="65">
        <v>12174.470000000001</v>
      </c>
      <c r="G26" s="65">
        <v>13953.599999999999</v>
      </c>
      <c r="H26" s="65">
        <v>15245.14</v>
      </c>
    </row>
    <row r="27" spans="1:8" ht="15" customHeight="1" x14ac:dyDescent="0.25">
      <c r="A27" s="56" t="s">
        <v>60</v>
      </c>
      <c r="B27" s="63">
        <v>2360</v>
      </c>
      <c r="C27" s="63">
        <v>3145</v>
      </c>
      <c r="D27" s="64">
        <v>4030</v>
      </c>
      <c r="E27" s="65">
        <v>5153.8599999999997</v>
      </c>
      <c r="F27" s="65">
        <v>6240.23</v>
      </c>
      <c r="G27" s="65">
        <v>6789.84</v>
      </c>
      <c r="H27" s="65">
        <v>7519.72</v>
      </c>
    </row>
    <row r="28" spans="1:8" ht="15" customHeight="1" x14ac:dyDescent="0.25">
      <c r="A28" s="71" t="s">
        <v>61</v>
      </c>
      <c r="B28" s="72">
        <f t="shared" ref="B28:C28" si="4">SUM(B24:B27)</f>
        <v>63296</v>
      </c>
      <c r="C28" s="72">
        <f t="shared" si="4"/>
        <v>73322</v>
      </c>
      <c r="D28" s="73">
        <f>SUM(D24:D27)</f>
        <v>84561</v>
      </c>
      <c r="E28" s="72">
        <f t="shared" ref="E28:H28" si="5">SUM(E24:E27)</f>
        <v>88707.260000000009</v>
      </c>
      <c r="F28" s="72">
        <f t="shared" si="5"/>
        <v>92277.5</v>
      </c>
      <c r="G28" s="72">
        <f t="shared" si="5"/>
        <v>95185.200000000012</v>
      </c>
      <c r="H28" s="72">
        <f t="shared" si="5"/>
        <v>97377.94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31B4-AC08-4F94-A53B-9E29DA875B3A}">
  <dimension ref="A1:L665"/>
  <sheetViews>
    <sheetView workbookViewId="0">
      <selection activeCell="E4" sqref="E4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71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18324</v>
      </c>
      <c r="C8" s="60">
        <v>22383</v>
      </c>
      <c r="D8" s="61">
        <v>24874</v>
      </c>
      <c r="E8" s="62">
        <v>27080.09</v>
      </c>
      <c r="F8" s="62">
        <v>28258.85</v>
      </c>
      <c r="G8" s="62">
        <v>29263.49</v>
      </c>
      <c r="H8" s="62">
        <v>30564.58</v>
      </c>
    </row>
    <row r="9" spans="1:12" ht="15" customHeight="1" x14ac:dyDescent="0.25">
      <c r="A9" s="56" t="s">
        <v>0</v>
      </c>
      <c r="B9" s="63">
        <v>45198</v>
      </c>
      <c r="C9" s="63">
        <v>53762</v>
      </c>
      <c r="D9" s="64">
        <v>62706</v>
      </c>
      <c r="E9" s="65">
        <v>66182.95</v>
      </c>
      <c r="F9" s="65">
        <v>69270.89</v>
      </c>
      <c r="G9" s="65">
        <v>71746.94</v>
      </c>
      <c r="H9" s="65">
        <v>73538.740000000005</v>
      </c>
    </row>
    <row r="10" spans="1:12" ht="15" customHeight="1" x14ac:dyDescent="0.25">
      <c r="A10" s="56" t="s">
        <v>1</v>
      </c>
      <c r="B10" s="63">
        <v>5791</v>
      </c>
      <c r="C10" s="63">
        <v>8599</v>
      </c>
      <c r="D10" s="64">
        <v>11701</v>
      </c>
      <c r="E10" s="65">
        <v>12299.71</v>
      </c>
      <c r="F10" s="65">
        <v>14243.829999999998</v>
      </c>
      <c r="G10" s="65">
        <v>16752.09</v>
      </c>
      <c r="H10" s="65">
        <v>18840.239999999998</v>
      </c>
    </row>
    <row r="11" spans="1:12" ht="15" customHeight="1" x14ac:dyDescent="0.25">
      <c r="A11" s="56" t="s">
        <v>60</v>
      </c>
      <c r="B11" s="63">
        <v>1812</v>
      </c>
      <c r="C11" s="63">
        <v>2681</v>
      </c>
      <c r="D11" s="64">
        <v>3938</v>
      </c>
      <c r="E11" s="65">
        <v>5336.02</v>
      </c>
      <c r="F11" s="65">
        <v>6568.97</v>
      </c>
      <c r="G11" s="65">
        <v>7076.88</v>
      </c>
      <c r="H11" s="65">
        <v>7871.81</v>
      </c>
    </row>
    <row r="12" spans="1:12" ht="15" customHeight="1" x14ac:dyDescent="0.25">
      <c r="A12" s="56" t="s">
        <v>61</v>
      </c>
      <c r="B12" s="65">
        <f t="shared" ref="B12:C12" si="0">SUM(B8:B11)</f>
        <v>71125</v>
      </c>
      <c r="C12" s="65">
        <f t="shared" si="0"/>
        <v>87425</v>
      </c>
      <c r="D12" s="64">
        <f>SUM(D8:D11)</f>
        <v>103219</v>
      </c>
      <c r="E12" s="65">
        <f t="shared" ref="E12:H12" si="1">SUM(E8:E11)</f>
        <v>110898.77</v>
      </c>
      <c r="F12" s="65">
        <f t="shared" si="1"/>
        <v>118342.54</v>
      </c>
      <c r="G12" s="65">
        <f t="shared" si="1"/>
        <v>124839.40000000001</v>
      </c>
      <c r="H12" s="65">
        <f t="shared" si="1"/>
        <v>130815.37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18324</v>
      </c>
      <c r="C16" s="60">
        <v>22383</v>
      </c>
      <c r="D16" s="61">
        <v>24874</v>
      </c>
      <c r="E16" s="62">
        <v>26606.18</v>
      </c>
      <c r="F16" s="62">
        <v>27793.34</v>
      </c>
      <c r="G16" s="62">
        <v>29308.93</v>
      </c>
      <c r="H16" s="62">
        <v>31283.98</v>
      </c>
    </row>
    <row r="17" spans="1:8" ht="15" customHeight="1" x14ac:dyDescent="0.25">
      <c r="A17" s="56" t="s">
        <v>0</v>
      </c>
      <c r="B17" s="63">
        <v>45198</v>
      </c>
      <c r="C17" s="63">
        <v>53762</v>
      </c>
      <c r="D17" s="64">
        <v>62706</v>
      </c>
      <c r="E17" s="65">
        <v>66798.87</v>
      </c>
      <c r="F17" s="65">
        <v>70784.22</v>
      </c>
      <c r="G17" s="65">
        <v>74111.3</v>
      </c>
      <c r="H17" s="65">
        <v>76506.14</v>
      </c>
    </row>
    <row r="18" spans="1:8" ht="15" customHeight="1" x14ac:dyDescent="0.25">
      <c r="A18" s="56" t="s">
        <v>1</v>
      </c>
      <c r="B18" s="63">
        <v>5791</v>
      </c>
      <c r="C18" s="63">
        <v>8599</v>
      </c>
      <c r="D18" s="64">
        <v>11701</v>
      </c>
      <c r="E18" s="65">
        <v>12343.000000000002</v>
      </c>
      <c r="F18" s="65">
        <v>14381.189999999999</v>
      </c>
      <c r="G18" s="65">
        <v>17007.88</v>
      </c>
      <c r="H18" s="65">
        <v>19182.23</v>
      </c>
    </row>
    <row r="19" spans="1:8" ht="15" customHeight="1" x14ac:dyDescent="0.25">
      <c r="A19" s="56" t="s">
        <v>60</v>
      </c>
      <c r="B19" s="63">
        <v>1812</v>
      </c>
      <c r="C19" s="63">
        <v>2681</v>
      </c>
      <c r="D19" s="64">
        <v>3938</v>
      </c>
      <c r="E19" s="65">
        <v>5348.4</v>
      </c>
      <c r="F19" s="65">
        <v>6616.86</v>
      </c>
      <c r="G19" s="65">
        <v>7174.18</v>
      </c>
      <c r="H19" s="65">
        <v>8022.62</v>
      </c>
    </row>
    <row r="20" spans="1:8" ht="15" customHeight="1" x14ac:dyDescent="0.25">
      <c r="A20" s="56" t="s">
        <v>61</v>
      </c>
      <c r="B20" s="65">
        <f t="shared" ref="B20:C20" si="2">SUM(B16:B19)</f>
        <v>71125</v>
      </c>
      <c r="C20" s="65">
        <f t="shared" si="2"/>
        <v>87425</v>
      </c>
      <c r="D20" s="64">
        <f>SUM(D16:D19)</f>
        <v>103219</v>
      </c>
      <c r="E20" s="65">
        <f t="shared" ref="E20:H20" si="3">SUM(E16:E19)</f>
        <v>111096.44999999998</v>
      </c>
      <c r="F20" s="65">
        <f t="shared" si="3"/>
        <v>119575.61</v>
      </c>
      <c r="G20" s="65">
        <f t="shared" si="3"/>
        <v>127602.29000000001</v>
      </c>
      <c r="H20" s="65">
        <f t="shared" si="3"/>
        <v>134994.97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18324</v>
      </c>
      <c r="C24" s="60">
        <v>22383</v>
      </c>
      <c r="D24" s="61">
        <v>24874</v>
      </c>
      <c r="E24" s="62">
        <v>25916.98</v>
      </c>
      <c r="F24" s="62">
        <v>26066.3</v>
      </c>
      <c r="G24" s="62">
        <v>26393.55</v>
      </c>
      <c r="H24" s="62">
        <v>27140.79</v>
      </c>
    </row>
    <row r="25" spans="1:8" ht="15" customHeight="1" x14ac:dyDescent="0.25">
      <c r="A25" s="56" t="s">
        <v>0</v>
      </c>
      <c r="B25" s="63">
        <v>45198</v>
      </c>
      <c r="C25" s="63">
        <v>53762</v>
      </c>
      <c r="D25" s="64">
        <v>62706</v>
      </c>
      <c r="E25" s="65">
        <v>65519.17</v>
      </c>
      <c r="F25" s="65">
        <v>67789.070000000007</v>
      </c>
      <c r="G25" s="65">
        <v>69600.820000000007</v>
      </c>
      <c r="H25" s="65">
        <v>70696.899999999994</v>
      </c>
    </row>
    <row r="26" spans="1:8" ht="15" customHeight="1" x14ac:dyDescent="0.25">
      <c r="A26" s="56" t="s">
        <v>1</v>
      </c>
      <c r="B26" s="63">
        <v>5791</v>
      </c>
      <c r="C26" s="63">
        <v>8599</v>
      </c>
      <c r="D26" s="64">
        <v>11701</v>
      </c>
      <c r="E26" s="65">
        <v>12259.91</v>
      </c>
      <c r="F26" s="65">
        <v>14142.029999999999</v>
      </c>
      <c r="G26" s="65">
        <v>16597.82</v>
      </c>
      <c r="H26" s="65">
        <v>18590.060000000001</v>
      </c>
    </row>
    <row r="27" spans="1:8" ht="15" customHeight="1" x14ac:dyDescent="0.25">
      <c r="A27" s="56" t="s">
        <v>60</v>
      </c>
      <c r="B27" s="63">
        <v>1812</v>
      </c>
      <c r="C27" s="63">
        <v>2681</v>
      </c>
      <c r="D27" s="64">
        <v>3938</v>
      </c>
      <c r="E27" s="65">
        <v>5325.88</v>
      </c>
      <c r="F27" s="65">
        <v>6539.95</v>
      </c>
      <c r="G27" s="65">
        <v>7024.53</v>
      </c>
      <c r="H27" s="65">
        <v>7760.93</v>
      </c>
    </row>
    <row r="28" spans="1:8" ht="15" customHeight="1" x14ac:dyDescent="0.25">
      <c r="A28" s="71" t="s">
        <v>61</v>
      </c>
      <c r="B28" s="72">
        <f t="shared" ref="B28:C28" si="4">SUM(B24:B27)</f>
        <v>71125</v>
      </c>
      <c r="C28" s="72">
        <f t="shared" si="4"/>
        <v>87425</v>
      </c>
      <c r="D28" s="73">
        <f>SUM(D24:D27)</f>
        <v>103219</v>
      </c>
      <c r="E28" s="72">
        <f t="shared" ref="E28:H28" si="5">SUM(E24:E27)</f>
        <v>109021.94</v>
      </c>
      <c r="F28" s="72">
        <f t="shared" si="5"/>
        <v>114537.35</v>
      </c>
      <c r="G28" s="72">
        <f t="shared" si="5"/>
        <v>119616.72</v>
      </c>
      <c r="H28" s="72">
        <f t="shared" si="5"/>
        <v>124188.68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BCB7-8AE8-4F7B-AD49-BDFF7B37EE19}">
  <dimension ref="A1:L665"/>
  <sheetViews>
    <sheetView workbookViewId="0">
      <selection activeCell="E4" sqref="E4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72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13428</v>
      </c>
      <c r="C8" s="60">
        <v>15017</v>
      </c>
      <c r="D8" s="61">
        <v>17055</v>
      </c>
      <c r="E8" s="62">
        <v>17284.310000000001</v>
      </c>
      <c r="F8" s="62">
        <v>17935.009999999998</v>
      </c>
      <c r="G8" s="62">
        <v>18426.95</v>
      </c>
      <c r="H8" s="62">
        <v>18741.98</v>
      </c>
    </row>
    <row r="9" spans="1:12" ht="15" customHeight="1" x14ac:dyDescent="0.25">
      <c r="A9" s="56" t="s">
        <v>0</v>
      </c>
      <c r="B9" s="63">
        <v>38307</v>
      </c>
      <c r="C9" s="63">
        <v>42727</v>
      </c>
      <c r="D9" s="64">
        <v>50481</v>
      </c>
      <c r="E9" s="65">
        <v>52284.7</v>
      </c>
      <c r="F9" s="65">
        <v>53350.21</v>
      </c>
      <c r="G9" s="65">
        <v>55086.35</v>
      </c>
      <c r="H9" s="65">
        <v>56921.35</v>
      </c>
    </row>
    <row r="10" spans="1:12" ht="15" customHeight="1" x14ac:dyDescent="0.25">
      <c r="A10" s="56" t="s">
        <v>1</v>
      </c>
      <c r="B10" s="63">
        <v>6001</v>
      </c>
      <c r="C10" s="63">
        <v>7143</v>
      </c>
      <c r="D10" s="64">
        <v>8314</v>
      </c>
      <c r="E10" s="65">
        <v>8697.66</v>
      </c>
      <c r="F10" s="65">
        <v>9816.59</v>
      </c>
      <c r="G10" s="65">
        <v>11174.67</v>
      </c>
      <c r="H10" s="65">
        <v>12325.330000000002</v>
      </c>
    </row>
    <row r="11" spans="1:12" ht="15" customHeight="1" x14ac:dyDescent="0.25">
      <c r="A11" s="56" t="s">
        <v>60</v>
      </c>
      <c r="B11" s="63">
        <v>1861</v>
      </c>
      <c r="C11" s="63">
        <v>2656</v>
      </c>
      <c r="D11" s="64">
        <v>3228</v>
      </c>
      <c r="E11" s="65">
        <v>4068.86</v>
      </c>
      <c r="F11" s="65">
        <v>4769.99</v>
      </c>
      <c r="G11" s="65">
        <v>5139.58</v>
      </c>
      <c r="H11" s="65">
        <v>5884.07</v>
      </c>
    </row>
    <row r="12" spans="1:12" ht="15" customHeight="1" x14ac:dyDescent="0.25">
      <c r="A12" s="56" t="s">
        <v>61</v>
      </c>
      <c r="B12" s="65">
        <f t="shared" ref="B12:C12" si="0">SUM(B8:B11)</f>
        <v>59597</v>
      </c>
      <c r="C12" s="65">
        <f t="shared" si="0"/>
        <v>67543</v>
      </c>
      <c r="D12" s="64">
        <f>SUM(D8:D11)</f>
        <v>79078</v>
      </c>
      <c r="E12" s="65">
        <f t="shared" ref="E12:H12" si="1">SUM(E8:E11)</f>
        <v>82335.53</v>
      </c>
      <c r="F12" s="65">
        <f t="shared" si="1"/>
        <v>85871.8</v>
      </c>
      <c r="G12" s="65">
        <f t="shared" si="1"/>
        <v>89827.55</v>
      </c>
      <c r="H12" s="65">
        <f t="shared" si="1"/>
        <v>93872.73000000001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13428</v>
      </c>
      <c r="C16" s="60">
        <v>15017</v>
      </c>
      <c r="D16" s="61">
        <v>17055</v>
      </c>
      <c r="E16" s="62">
        <v>17678.62</v>
      </c>
      <c r="F16" s="62">
        <v>18784.91</v>
      </c>
      <c r="G16" s="62">
        <v>19692.77</v>
      </c>
      <c r="H16" s="62">
        <v>20421.73</v>
      </c>
    </row>
    <row r="17" spans="1:8" ht="15" customHeight="1" x14ac:dyDescent="0.25">
      <c r="A17" s="56" t="s">
        <v>0</v>
      </c>
      <c r="B17" s="63">
        <v>38307</v>
      </c>
      <c r="C17" s="63">
        <v>42727</v>
      </c>
      <c r="D17" s="64">
        <v>50481</v>
      </c>
      <c r="E17" s="65">
        <v>52635.15</v>
      </c>
      <c r="F17" s="65">
        <v>54136.31</v>
      </c>
      <c r="G17" s="65">
        <v>56460.93</v>
      </c>
      <c r="H17" s="65">
        <v>59220.56</v>
      </c>
    </row>
    <row r="18" spans="1:8" ht="15" customHeight="1" x14ac:dyDescent="0.25">
      <c r="A18" s="56" t="s">
        <v>1</v>
      </c>
      <c r="B18" s="63">
        <v>6001</v>
      </c>
      <c r="C18" s="63">
        <v>7143</v>
      </c>
      <c r="D18" s="64">
        <v>8314</v>
      </c>
      <c r="E18" s="65">
        <v>8694.65</v>
      </c>
      <c r="F18" s="65">
        <v>9805.93</v>
      </c>
      <c r="G18" s="65">
        <v>11186.169999999998</v>
      </c>
      <c r="H18" s="65">
        <v>12459.239999999998</v>
      </c>
    </row>
    <row r="19" spans="1:8" ht="15" customHeight="1" x14ac:dyDescent="0.25">
      <c r="A19" s="56" t="s">
        <v>60</v>
      </c>
      <c r="B19" s="63">
        <v>1861</v>
      </c>
      <c r="C19" s="63">
        <v>2656</v>
      </c>
      <c r="D19" s="64">
        <v>3228</v>
      </c>
      <c r="E19" s="65">
        <v>4068.16</v>
      </c>
      <c r="F19" s="65">
        <v>4768.72</v>
      </c>
      <c r="G19" s="65">
        <v>5156.1400000000003</v>
      </c>
      <c r="H19" s="65">
        <v>5971.11</v>
      </c>
    </row>
    <row r="20" spans="1:8" ht="15" customHeight="1" x14ac:dyDescent="0.25">
      <c r="A20" s="56" t="s">
        <v>61</v>
      </c>
      <c r="B20" s="65">
        <f t="shared" ref="B20:C20" si="2">SUM(B16:B19)</f>
        <v>59597</v>
      </c>
      <c r="C20" s="65">
        <f t="shared" si="2"/>
        <v>67543</v>
      </c>
      <c r="D20" s="64">
        <f>SUM(D16:D19)</f>
        <v>79078</v>
      </c>
      <c r="E20" s="65">
        <f t="shared" ref="E20:H20" si="3">SUM(E16:E19)</f>
        <v>83076.58</v>
      </c>
      <c r="F20" s="65">
        <f t="shared" si="3"/>
        <v>87495.87</v>
      </c>
      <c r="G20" s="65">
        <f t="shared" si="3"/>
        <v>92496.01</v>
      </c>
      <c r="H20" s="65">
        <f t="shared" si="3"/>
        <v>98072.639999999999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13428</v>
      </c>
      <c r="C24" s="60">
        <v>15017</v>
      </c>
      <c r="D24" s="61">
        <v>17055</v>
      </c>
      <c r="E24" s="62">
        <v>17371.439999999999</v>
      </c>
      <c r="F24" s="62">
        <v>17863.47</v>
      </c>
      <c r="G24" s="62">
        <v>17855.080000000002</v>
      </c>
      <c r="H24" s="62">
        <v>17364.900000000001</v>
      </c>
    </row>
    <row r="25" spans="1:8" ht="15" customHeight="1" x14ac:dyDescent="0.25">
      <c r="A25" s="56" t="s">
        <v>0</v>
      </c>
      <c r="B25" s="63">
        <v>38307</v>
      </c>
      <c r="C25" s="63">
        <v>42727</v>
      </c>
      <c r="D25" s="64">
        <v>50481</v>
      </c>
      <c r="E25" s="65">
        <v>51926.89</v>
      </c>
      <c r="F25" s="65">
        <v>52166.67</v>
      </c>
      <c r="G25" s="65">
        <v>52879.23</v>
      </c>
      <c r="H25" s="65">
        <v>53600.06</v>
      </c>
    </row>
    <row r="26" spans="1:8" ht="15" customHeight="1" x14ac:dyDescent="0.25">
      <c r="A26" s="56" t="s">
        <v>1</v>
      </c>
      <c r="B26" s="63">
        <v>6001</v>
      </c>
      <c r="C26" s="63">
        <v>7143</v>
      </c>
      <c r="D26" s="64">
        <v>8314</v>
      </c>
      <c r="E26" s="65">
        <v>8720.9199999999983</v>
      </c>
      <c r="F26" s="65">
        <v>9790.56</v>
      </c>
      <c r="G26" s="65">
        <v>11014.82</v>
      </c>
      <c r="H26" s="65">
        <v>11945.29</v>
      </c>
    </row>
    <row r="27" spans="1:8" ht="15" customHeight="1" x14ac:dyDescent="0.25">
      <c r="A27" s="56" t="s">
        <v>60</v>
      </c>
      <c r="B27" s="63">
        <v>1861</v>
      </c>
      <c r="C27" s="63">
        <v>2656</v>
      </c>
      <c r="D27" s="64">
        <v>3228</v>
      </c>
      <c r="E27" s="65">
        <v>4078.3</v>
      </c>
      <c r="F27" s="65">
        <v>4759</v>
      </c>
      <c r="G27" s="65">
        <v>5067.1899999999996</v>
      </c>
      <c r="H27" s="65">
        <v>5699.41</v>
      </c>
    </row>
    <row r="28" spans="1:8" ht="15" customHeight="1" x14ac:dyDescent="0.25">
      <c r="A28" s="71" t="s">
        <v>61</v>
      </c>
      <c r="B28" s="72">
        <f t="shared" ref="B28:C28" si="4">SUM(B24:B27)</f>
        <v>59597</v>
      </c>
      <c r="C28" s="72">
        <f t="shared" si="4"/>
        <v>67543</v>
      </c>
      <c r="D28" s="73">
        <f>SUM(D24:D27)</f>
        <v>79078</v>
      </c>
      <c r="E28" s="72">
        <f t="shared" ref="E28:H28" si="5">SUM(E24:E27)</f>
        <v>82097.55</v>
      </c>
      <c r="F28" s="72">
        <f t="shared" si="5"/>
        <v>84579.7</v>
      </c>
      <c r="G28" s="72">
        <f t="shared" si="5"/>
        <v>86816.320000000007</v>
      </c>
      <c r="H28" s="72">
        <f t="shared" si="5"/>
        <v>88609.66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D91B-8DA0-4CEA-8119-7BBC3BDBCA5A}">
  <dimension ref="A1:L665"/>
  <sheetViews>
    <sheetView workbookViewId="0">
      <selection activeCell="E4" sqref="E4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73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1017</v>
      </c>
      <c r="C8" s="60">
        <v>941</v>
      </c>
      <c r="D8" s="61">
        <v>978</v>
      </c>
      <c r="E8" s="62">
        <v>1044.3599999999999</v>
      </c>
      <c r="F8" s="62">
        <v>1065.6199999999999</v>
      </c>
      <c r="G8" s="62">
        <v>1026.5</v>
      </c>
      <c r="H8" s="62">
        <v>1015.3</v>
      </c>
    </row>
    <row r="9" spans="1:12" ht="15" customHeight="1" x14ac:dyDescent="0.25">
      <c r="A9" s="56" t="s">
        <v>0</v>
      </c>
      <c r="B9" s="63">
        <v>2452</v>
      </c>
      <c r="C9" s="63">
        <v>2656</v>
      </c>
      <c r="D9" s="64">
        <v>2731</v>
      </c>
      <c r="E9" s="65">
        <v>2614.5500000000002</v>
      </c>
      <c r="F9" s="65">
        <v>2531.2600000000002</v>
      </c>
      <c r="G9" s="65">
        <v>2537.65</v>
      </c>
      <c r="H9" s="65">
        <v>2497.41</v>
      </c>
    </row>
    <row r="10" spans="1:12" ht="15" customHeight="1" x14ac:dyDescent="0.25">
      <c r="A10" s="56" t="s">
        <v>1</v>
      </c>
      <c r="B10" s="63">
        <v>721</v>
      </c>
      <c r="C10" s="63">
        <v>694</v>
      </c>
      <c r="D10" s="64">
        <v>840</v>
      </c>
      <c r="E10" s="65">
        <v>871.32</v>
      </c>
      <c r="F10" s="65">
        <v>885.99</v>
      </c>
      <c r="G10" s="65">
        <v>869.08</v>
      </c>
      <c r="H10" s="65">
        <v>818.72</v>
      </c>
    </row>
    <row r="11" spans="1:12" ht="15" customHeight="1" x14ac:dyDescent="0.25">
      <c r="A11" s="56" t="s">
        <v>60</v>
      </c>
      <c r="B11" s="63">
        <v>264</v>
      </c>
      <c r="C11" s="63">
        <v>335</v>
      </c>
      <c r="D11" s="64">
        <v>345</v>
      </c>
      <c r="E11" s="65">
        <v>424.37</v>
      </c>
      <c r="F11" s="65">
        <v>509.93</v>
      </c>
      <c r="G11" s="65">
        <v>552.41999999999996</v>
      </c>
      <c r="H11" s="65">
        <v>605.01</v>
      </c>
    </row>
    <row r="12" spans="1:12" ht="15" customHeight="1" x14ac:dyDescent="0.25">
      <c r="A12" s="56" t="s">
        <v>61</v>
      </c>
      <c r="B12" s="65">
        <f t="shared" ref="B12:C12" si="0">SUM(B8:B11)</f>
        <v>4454</v>
      </c>
      <c r="C12" s="65">
        <f t="shared" si="0"/>
        <v>4626</v>
      </c>
      <c r="D12" s="64">
        <f>SUM(D8:D11)</f>
        <v>4894</v>
      </c>
      <c r="E12" s="65">
        <f t="shared" ref="E12:H12" si="1">SUM(E8:E11)</f>
        <v>4954.5999999999995</v>
      </c>
      <c r="F12" s="65">
        <f t="shared" si="1"/>
        <v>4992.8</v>
      </c>
      <c r="G12" s="65">
        <f t="shared" si="1"/>
        <v>4985.6500000000005</v>
      </c>
      <c r="H12" s="65">
        <f t="shared" si="1"/>
        <v>4936.4400000000005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1017</v>
      </c>
      <c r="C16" s="60">
        <v>941</v>
      </c>
      <c r="D16" s="61">
        <v>978</v>
      </c>
      <c r="E16" s="62">
        <v>1040.25</v>
      </c>
      <c r="F16" s="62">
        <v>1061.1099999999999</v>
      </c>
      <c r="G16" s="62">
        <v>1022.08</v>
      </c>
      <c r="H16" s="62">
        <v>1010.37</v>
      </c>
    </row>
    <row r="17" spans="1:8" ht="15" customHeight="1" x14ac:dyDescent="0.25">
      <c r="A17" s="56" t="s">
        <v>0</v>
      </c>
      <c r="B17" s="63">
        <v>2452</v>
      </c>
      <c r="C17" s="63">
        <v>2656</v>
      </c>
      <c r="D17" s="64">
        <v>2731</v>
      </c>
      <c r="E17" s="65">
        <v>2639.8</v>
      </c>
      <c r="F17" s="65">
        <v>2591.0500000000002</v>
      </c>
      <c r="G17" s="65">
        <v>2637.49</v>
      </c>
      <c r="H17" s="65">
        <v>2639.27</v>
      </c>
    </row>
    <row r="18" spans="1:8" ht="15" customHeight="1" x14ac:dyDescent="0.25">
      <c r="A18" s="56" t="s">
        <v>1</v>
      </c>
      <c r="B18" s="63">
        <v>721</v>
      </c>
      <c r="C18" s="63">
        <v>694</v>
      </c>
      <c r="D18" s="64">
        <v>840</v>
      </c>
      <c r="E18" s="65">
        <v>873.14999999999986</v>
      </c>
      <c r="F18" s="65">
        <v>891.61999999999989</v>
      </c>
      <c r="G18" s="65">
        <v>881.15000000000009</v>
      </c>
      <c r="H18" s="65">
        <v>839.68</v>
      </c>
    </row>
    <row r="19" spans="1:8" ht="15" customHeight="1" x14ac:dyDescent="0.25">
      <c r="A19" s="56" t="s">
        <v>60</v>
      </c>
      <c r="B19" s="63">
        <v>264</v>
      </c>
      <c r="C19" s="63">
        <v>335</v>
      </c>
      <c r="D19" s="64">
        <v>345</v>
      </c>
      <c r="E19" s="65">
        <v>425.16</v>
      </c>
      <c r="F19" s="65">
        <v>512.98</v>
      </c>
      <c r="G19" s="65">
        <v>560.02</v>
      </c>
      <c r="H19" s="65">
        <v>620.13</v>
      </c>
    </row>
    <row r="20" spans="1:8" ht="15" customHeight="1" x14ac:dyDescent="0.25">
      <c r="A20" s="56" t="s">
        <v>61</v>
      </c>
      <c r="B20" s="65">
        <f t="shared" ref="B20:C20" si="2">SUM(B16:B19)</f>
        <v>4454</v>
      </c>
      <c r="C20" s="65">
        <f t="shared" si="2"/>
        <v>4626</v>
      </c>
      <c r="D20" s="64">
        <f>SUM(D16:D19)</f>
        <v>4894</v>
      </c>
      <c r="E20" s="65">
        <f t="shared" ref="E20:H20" si="3">SUM(E16:E19)</f>
        <v>4978.3599999999997</v>
      </c>
      <c r="F20" s="65">
        <f t="shared" si="3"/>
        <v>5056.76</v>
      </c>
      <c r="G20" s="65">
        <f t="shared" si="3"/>
        <v>5100.74</v>
      </c>
      <c r="H20" s="65">
        <f t="shared" si="3"/>
        <v>5109.45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1017</v>
      </c>
      <c r="C24" s="60">
        <v>941</v>
      </c>
      <c r="D24" s="61">
        <v>978</v>
      </c>
      <c r="E24" s="62">
        <v>1009.41</v>
      </c>
      <c r="F24" s="62">
        <v>988.8</v>
      </c>
      <c r="G24" s="62">
        <v>901.67</v>
      </c>
      <c r="H24" s="62">
        <v>838.36</v>
      </c>
    </row>
    <row r="25" spans="1:8" ht="15" customHeight="1" x14ac:dyDescent="0.25">
      <c r="A25" s="56" t="s">
        <v>0</v>
      </c>
      <c r="B25" s="63">
        <v>2452</v>
      </c>
      <c r="C25" s="63">
        <v>2656</v>
      </c>
      <c r="D25" s="64">
        <v>2731</v>
      </c>
      <c r="E25" s="65">
        <v>2574.92</v>
      </c>
      <c r="F25" s="65">
        <v>2452.92</v>
      </c>
      <c r="G25" s="65">
        <v>2422.5100000000002</v>
      </c>
      <c r="H25" s="65">
        <v>2349.06</v>
      </c>
    </row>
    <row r="26" spans="1:8" ht="15" customHeight="1" x14ac:dyDescent="0.25">
      <c r="A26" s="56" t="s">
        <v>1</v>
      </c>
      <c r="B26" s="63">
        <v>721</v>
      </c>
      <c r="C26" s="63">
        <v>694</v>
      </c>
      <c r="D26" s="64">
        <v>840</v>
      </c>
      <c r="E26" s="65">
        <v>865.6400000000001</v>
      </c>
      <c r="F26" s="65">
        <v>875.64999999999986</v>
      </c>
      <c r="G26" s="65">
        <v>853.04</v>
      </c>
      <c r="H26" s="65">
        <v>795.49</v>
      </c>
    </row>
    <row r="27" spans="1:8" ht="15" customHeight="1" x14ac:dyDescent="0.25">
      <c r="A27" s="56" t="s">
        <v>60</v>
      </c>
      <c r="B27" s="63">
        <v>264</v>
      </c>
      <c r="C27" s="63">
        <v>335</v>
      </c>
      <c r="D27" s="64">
        <v>345</v>
      </c>
      <c r="E27" s="65">
        <v>421.81</v>
      </c>
      <c r="F27" s="65">
        <v>504.46</v>
      </c>
      <c r="G27" s="65">
        <v>542.53</v>
      </c>
      <c r="H27" s="65">
        <v>587.95000000000005</v>
      </c>
    </row>
    <row r="28" spans="1:8" ht="15" customHeight="1" x14ac:dyDescent="0.25">
      <c r="A28" s="71" t="s">
        <v>61</v>
      </c>
      <c r="B28" s="72">
        <f t="shared" ref="B28:C28" si="4">SUM(B24:B27)</f>
        <v>4454</v>
      </c>
      <c r="C28" s="72">
        <f t="shared" si="4"/>
        <v>4626</v>
      </c>
      <c r="D28" s="73">
        <f>SUM(D24:D27)</f>
        <v>4894</v>
      </c>
      <c r="E28" s="72">
        <f t="shared" ref="E28:H28" si="5">SUM(E24:E27)</f>
        <v>4871.7800000000007</v>
      </c>
      <c r="F28" s="72">
        <f t="shared" si="5"/>
        <v>4821.83</v>
      </c>
      <c r="G28" s="72">
        <f t="shared" si="5"/>
        <v>4719.75</v>
      </c>
      <c r="H28" s="72">
        <f t="shared" si="5"/>
        <v>4570.8599999999997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1C72-3E4A-486F-9FC2-5CB569A592B3}">
  <dimension ref="A1:L665"/>
  <sheetViews>
    <sheetView workbookViewId="0">
      <selection activeCell="M12" sqref="M12"/>
    </sheetView>
  </sheetViews>
  <sheetFormatPr baseColWidth="10" defaultRowHeight="15.75" x14ac:dyDescent="0.25"/>
  <cols>
    <col min="1" max="1" width="11" style="32"/>
    <col min="2" max="8" width="9" style="32" customWidth="1"/>
    <col min="9" max="16384" width="11" style="32"/>
  </cols>
  <sheetData>
    <row r="1" spans="1:12" ht="42.95" customHeight="1" x14ac:dyDescent="0.25"/>
    <row r="2" spans="1:12" ht="15" customHeight="1" thickBot="1" x14ac:dyDescent="0.3">
      <c r="A2" s="34"/>
      <c r="B2" s="34"/>
      <c r="C2" s="34"/>
      <c r="D2" s="34"/>
      <c r="E2" s="34"/>
      <c r="F2" s="34"/>
      <c r="G2" s="34"/>
      <c r="H2" s="34"/>
      <c r="I2" s="76"/>
      <c r="J2" s="76"/>
      <c r="K2" s="76"/>
      <c r="L2" s="76"/>
    </row>
    <row r="3" spans="1:12" ht="15" customHeight="1" x14ac:dyDescent="0.25"/>
    <row r="4" spans="1:12" ht="15" customHeight="1" x14ac:dyDescent="0.25">
      <c r="A4" s="14" t="s">
        <v>55</v>
      </c>
      <c r="B4" s="16"/>
      <c r="C4" s="16"/>
      <c r="D4" s="16"/>
      <c r="E4" s="15" t="s">
        <v>74</v>
      </c>
      <c r="F4" s="16"/>
      <c r="G4" s="16"/>
      <c r="H4" s="16"/>
    </row>
    <row r="5" spans="1:12" ht="15" customHeight="1" x14ac:dyDescent="0.25">
      <c r="A5" s="16"/>
      <c r="B5" s="16"/>
      <c r="C5" s="16"/>
      <c r="D5" s="16"/>
      <c r="E5" s="16"/>
      <c r="F5" s="16"/>
      <c r="G5" s="16"/>
      <c r="H5" s="16"/>
    </row>
    <row r="6" spans="1:12" ht="15" customHeight="1" x14ac:dyDescent="0.25">
      <c r="A6" s="51"/>
      <c r="B6" s="52"/>
      <c r="C6" s="52"/>
      <c r="D6" s="53"/>
      <c r="E6" s="74" t="s">
        <v>2</v>
      </c>
      <c r="F6" s="74"/>
      <c r="G6" s="74"/>
      <c r="H6" s="74"/>
    </row>
    <row r="7" spans="1:12" ht="15" customHeight="1" x14ac:dyDescent="0.25">
      <c r="A7" s="56"/>
      <c r="B7" s="57">
        <v>2000</v>
      </c>
      <c r="C7" s="57">
        <v>2010</v>
      </c>
      <c r="D7" s="58">
        <v>2020</v>
      </c>
      <c r="E7" s="59">
        <v>2025</v>
      </c>
      <c r="F7" s="59">
        <v>2030</v>
      </c>
      <c r="G7" s="59">
        <v>2035</v>
      </c>
      <c r="H7" s="59">
        <v>2040</v>
      </c>
    </row>
    <row r="8" spans="1:12" ht="15" customHeight="1" x14ac:dyDescent="0.25">
      <c r="A8" s="51" t="s">
        <v>59</v>
      </c>
      <c r="B8" s="60">
        <v>14128</v>
      </c>
      <c r="C8" s="60">
        <v>16220</v>
      </c>
      <c r="D8" s="61">
        <v>16472</v>
      </c>
      <c r="E8" s="62">
        <v>17708.39</v>
      </c>
      <c r="F8" s="62">
        <v>18831.82</v>
      </c>
      <c r="G8" s="62">
        <v>20026.11</v>
      </c>
      <c r="H8" s="62">
        <v>21021.16</v>
      </c>
    </row>
    <row r="9" spans="1:12" ht="15" customHeight="1" x14ac:dyDescent="0.25">
      <c r="A9" s="56" t="s">
        <v>0</v>
      </c>
      <c r="B9" s="63">
        <v>40049</v>
      </c>
      <c r="C9" s="63">
        <v>45245</v>
      </c>
      <c r="D9" s="64">
        <v>49316</v>
      </c>
      <c r="E9" s="65">
        <v>50555.57</v>
      </c>
      <c r="F9" s="65">
        <v>52094.62</v>
      </c>
      <c r="G9" s="65">
        <v>53543.61</v>
      </c>
      <c r="H9" s="65">
        <v>55246.25</v>
      </c>
    </row>
    <row r="10" spans="1:12" ht="15" customHeight="1" x14ac:dyDescent="0.25">
      <c r="A10" s="56" t="s">
        <v>1</v>
      </c>
      <c r="B10" s="63">
        <v>8302</v>
      </c>
      <c r="C10" s="63">
        <v>9286</v>
      </c>
      <c r="D10" s="64">
        <v>10601</v>
      </c>
      <c r="E10" s="65">
        <v>10885.619999999999</v>
      </c>
      <c r="F10" s="65">
        <v>11920.43</v>
      </c>
      <c r="G10" s="65">
        <v>13283.98</v>
      </c>
      <c r="H10" s="65">
        <v>13946.509999999998</v>
      </c>
    </row>
    <row r="11" spans="1:12" ht="15" customHeight="1" x14ac:dyDescent="0.25">
      <c r="A11" s="56" t="s">
        <v>60</v>
      </c>
      <c r="B11" s="63">
        <v>3532</v>
      </c>
      <c r="C11" s="63">
        <v>4231</v>
      </c>
      <c r="D11" s="64">
        <v>4846</v>
      </c>
      <c r="E11" s="65">
        <v>5837.86</v>
      </c>
      <c r="F11" s="65">
        <v>6681.79</v>
      </c>
      <c r="G11" s="65">
        <v>7092.18</v>
      </c>
      <c r="H11" s="65">
        <v>7812.2</v>
      </c>
    </row>
    <row r="12" spans="1:12" ht="15" customHeight="1" x14ac:dyDescent="0.25">
      <c r="A12" s="56" t="s">
        <v>61</v>
      </c>
      <c r="B12" s="65">
        <f t="shared" ref="B12:C12" si="0">SUM(B8:B11)</f>
        <v>66011</v>
      </c>
      <c r="C12" s="65">
        <f t="shared" si="0"/>
        <v>74982</v>
      </c>
      <c r="D12" s="64">
        <f>SUM(D8:D11)</f>
        <v>81235</v>
      </c>
      <c r="E12" s="65">
        <f t="shared" ref="E12:H12" si="1">SUM(E8:E11)</f>
        <v>84987.439999999988</v>
      </c>
      <c r="F12" s="65">
        <f t="shared" si="1"/>
        <v>89528.659999999989</v>
      </c>
      <c r="G12" s="65">
        <f t="shared" si="1"/>
        <v>93945.88</v>
      </c>
      <c r="H12" s="65">
        <f t="shared" si="1"/>
        <v>98026.12</v>
      </c>
    </row>
    <row r="13" spans="1:12" ht="15" customHeight="1" x14ac:dyDescent="0.25">
      <c r="A13" s="56"/>
      <c r="B13" s="66"/>
      <c r="C13" s="66"/>
      <c r="D13" s="67"/>
      <c r="E13" s="68"/>
      <c r="F13" s="68"/>
      <c r="G13" s="68"/>
      <c r="H13" s="68"/>
    </row>
    <row r="14" spans="1:12" ht="15" customHeight="1" x14ac:dyDescent="0.25">
      <c r="A14" s="56"/>
      <c r="B14" s="66"/>
      <c r="C14" s="66"/>
      <c r="D14" s="67"/>
      <c r="E14" s="75" t="s">
        <v>57</v>
      </c>
      <c r="F14" s="75"/>
      <c r="G14" s="75"/>
      <c r="H14" s="75"/>
    </row>
    <row r="15" spans="1:12" ht="15" customHeight="1" x14ac:dyDescent="0.25">
      <c r="A15" s="56"/>
      <c r="B15" s="57">
        <v>2000</v>
      </c>
      <c r="C15" s="57">
        <v>2010</v>
      </c>
      <c r="D15" s="58">
        <v>2020</v>
      </c>
      <c r="E15" s="59">
        <v>2025</v>
      </c>
      <c r="F15" s="59">
        <v>2030</v>
      </c>
      <c r="G15" s="59">
        <v>2035</v>
      </c>
      <c r="H15" s="59">
        <v>2040</v>
      </c>
    </row>
    <row r="16" spans="1:12" ht="15" customHeight="1" x14ac:dyDescent="0.25">
      <c r="A16" s="51" t="s">
        <v>59</v>
      </c>
      <c r="B16" s="60">
        <v>14128</v>
      </c>
      <c r="C16" s="60">
        <v>16220</v>
      </c>
      <c r="D16" s="61">
        <v>16472</v>
      </c>
      <c r="E16" s="62">
        <v>17859.41</v>
      </c>
      <c r="F16" s="62">
        <v>19377.669999999998</v>
      </c>
      <c r="G16" s="62">
        <v>21194.7</v>
      </c>
      <c r="H16" s="62">
        <v>22970.21</v>
      </c>
    </row>
    <row r="17" spans="1:8" ht="15" customHeight="1" x14ac:dyDescent="0.25">
      <c r="A17" s="56" t="s">
        <v>0</v>
      </c>
      <c r="B17" s="63">
        <v>40049</v>
      </c>
      <c r="C17" s="63">
        <v>45245</v>
      </c>
      <c r="D17" s="64">
        <v>49316</v>
      </c>
      <c r="E17" s="65">
        <v>51168.11</v>
      </c>
      <c r="F17" s="65">
        <v>53560.45</v>
      </c>
      <c r="G17" s="65">
        <v>55974.85</v>
      </c>
      <c r="H17" s="65">
        <v>58714.19</v>
      </c>
    </row>
    <row r="18" spans="1:8" ht="15" customHeight="1" x14ac:dyDescent="0.25">
      <c r="A18" s="56" t="s">
        <v>1</v>
      </c>
      <c r="B18" s="63">
        <v>8302</v>
      </c>
      <c r="C18" s="63">
        <v>9286</v>
      </c>
      <c r="D18" s="64">
        <v>10601</v>
      </c>
      <c r="E18" s="65">
        <v>10906.5</v>
      </c>
      <c r="F18" s="65">
        <v>11982.939999999999</v>
      </c>
      <c r="G18" s="65">
        <v>13419.849999999999</v>
      </c>
      <c r="H18" s="65">
        <v>14196.26</v>
      </c>
    </row>
    <row r="19" spans="1:8" ht="15" customHeight="1" x14ac:dyDescent="0.25">
      <c r="A19" s="56" t="s">
        <v>60</v>
      </c>
      <c r="B19" s="63">
        <v>3532</v>
      </c>
      <c r="C19" s="63">
        <v>4231</v>
      </c>
      <c r="D19" s="64">
        <v>4846</v>
      </c>
      <c r="E19" s="65">
        <v>5846.21</v>
      </c>
      <c r="F19" s="65">
        <v>6711.77</v>
      </c>
      <c r="G19" s="65">
        <v>7167.38</v>
      </c>
      <c r="H19" s="65">
        <v>7968.67</v>
      </c>
    </row>
    <row r="20" spans="1:8" ht="15" customHeight="1" x14ac:dyDescent="0.25">
      <c r="A20" s="56" t="s">
        <v>61</v>
      </c>
      <c r="B20" s="65">
        <f>SUM(B16:B19)</f>
        <v>66011</v>
      </c>
      <c r="C20" s="65">
        <f>SUM(C16:C19)</f>
        <v>74982</v>
      </c>
      <c r="D20" s="64">
        <f>SUM(D16:D19)</f>
        <v>81235</v>
      </c>
      <c r="E20" s="65">
        <f t="shared" ref="E20:H20" si="2">SUM(E16:E19)</f>
        <v>85780.23000000001</v>
      </c>
      <c r="F20" s="65">
        <f t="shared" si="2"/>
        <v>91632.83</v>
      </c>
      <c r="G20" s="65">
        <f t="shared" si="2"/>
        <v>97756.78</v>
      </c>
      <c r="H20" s="65">
        <f t="shared" si="2"/>
        <v>103849.32999999999</v>
      </c>
    </row>
    <row r="21" spans="1:8" ht="15" customHeight="1" x14ac:dyDescent="0.25">
      <c r="A21" s="56"/>
      <c r="B21" s="66"/>
      <c r="C21" s="66"/>
      <c r="D21" s="67"/>
      <c r="E21" s="68"/>
      <c r="F21" s="68"/>
      <c r="G21" s="68"/>
      <c r="H21" s="68"/>
    </row>
    <row r="22" spans="1:8" ht="15" customHeight="1" x14ac:dyDescent="0.25">
      <c r="A22" s="56"/>
      <c r="B22" s="66"/>
      <c r="C22" s="66"/>
      <c r="D22" s="67"/>
      <c r="E22" s="75" t="s">
        <v>58</v>
      </c>
      <c r="F22" s="75"/>
      <c r="G22" s="75"/>
      <c r="H22" s="75"/>
    </row>
    <row r="23" spans="1:8" ht="15" customHeight="1" x14ac:dyDescent="0.25">
      <c r="A23" s="56"/>
      <c r="B23" s="57">
        <v>2000</v>
      </c>
      <c r="C23" s="57">
        <v>2010</v>
      </c>
      <c r="D23" s="58">
        <v>2020</v>
      </c>
      <c r="E23" s="59">
        <v>2025</v>
      </c>
      <c r="F23" s="59">
        <v>2030</v>
      </c>
      <c r="G23" s="59">
        <v>2035</v>
      </c>
      <c r="H23" s="59">
        <v>2040</v>
      </c>
    </row>
    <row r="24" spans="1:8" ht="15" customHeight="1" x14ac:dyDescent="0.25">
      <c r="A24" s="51" t="s">
        <v>59</v>
      </c>
      <c r="B24" s="60">
        <v>14128</v>
      </c>
      <c r="C24" s="60">
        <v>16220</v>
      </c>
      <c r="D24" s="61">
        <v>16472</v>
      </c>
      <c r="E24" s="62">
        <v>17411.29</v>
      </c>
      <c r="F24" s="62">
        <v>18065.490000000002</v>
      </c>
      <c r="G24" s="62">
        <v>18641.46</v>
      </c>
      <c r="H24" s="62">
        <v>18885.46</v>
      </c>
    </row>
    <row r="25" spans="1:8" ht="15" customHeight="1" x14ac:dyDescent="0.25">
      <c r="A25" s="56" t="s">
        <v>0</v>
      </c>
      <c r="B25" s="63">
        <v>40049</v>
      </c>
      <c r="C25" s="63">
        <v>45245</v>
      </c>
      <c r="D25" s="64">
        <v>49316</v>
      </c>
      <c r="E25" s="65">
        <v>49884.46</v>
      </c>
      <c r="F25" s="65">
        <v>50318.37</v>
      </c>
      <c r="G25" s="65">
        <v>50617.16</v>
      </c>
      <c r="H25" s="65">
        <v>51223.33</v>
      </c>
    </row>
    <row r="26" spans="1:8" ht="15" customHeight="1" x14ac:dyDescent="0.25">
      <c r="A26" s="56" t="s">
        <v>1</v>
      </c>
      <c r="B26" s="63">
        <v>8302</v>
      </c>
      <c r="C26" s="63">
        <v>9286</v>
      </c>
      <c r="D26" s="64">
        <v>10601</v>
      </c>
      <c r="E26" s="65">
        <v>10874.18</v>
      </c>
      <c r="F26" s="65">
        <v>11842.82</v>
      </c>
      <c r="G26" s="65">
        <v>13092.329999999998</v>
      </c>
      <c r="H26" s="65">
        <v>13594.599999999999</v>
      </c>
    </row>
    <row r="27" spans="1:8" ht="15" customHeight="1" x14ac:dyDescent="0.25">
      <c r="A27" s="56" t="s">
        <v>60</v>
      </c>
      <c r="B27" s="63">
        <v>3532</v>
      </c>
      <c r="C27" s="63">
        <v>4231</v>
      </c>
      <c r="D27" s="64">
        <v>4846</v>
      </c>
      <c r="E27" s="65">
        <v>5833.79</v>
      </c>
      <c r="F27" s="65">
        <v>6647.64</v>
      </c>
      <c r="G27" s="65">
        <v>6997.31</v>
      </c>
      <c r="H27" s="65">
        <v>7616.41</v>
      </c>
    </row>
    <row r="28" spans="1:8" ht="15" customHeight="1" x14ac:dyDescent="0.25">
      <c r="A28" s="71" t="s">
        <v>61</v>
      </c>
      <c r="B28" s="72">
        <f t="shared" ref="B28:C28" si="3">SUM(B24:B27)</f>
        <v>66011</v>
      </c>
      <c r="C28" s="72">
        <f t="shared" si="3"/>
        <v>74982</v>
      </c>
      <c r="D28" s="73">
        <f>SUM(D24:D27)</f>
        <v>81235</v>
      </c>
      <c r="E28" s="72">
        <f t="shared" ref="E28:H28" si="4">SUM(E24:E27)</f>
        <v>84003.719999999987</v>
      </c>
      <c r="F28" s="72">
        <f t="shared" si="4"/>
        <v>86874.319999999992</v>
      </c>
      <c r="G28" s="72">
        <f t="shared" si="4"/>
        <v>89348.26</v>
      </c>
      <c r="H28" s="72">
        <f t="shared" si="4"/>
        <v>91319.800000000017</v>
      </c>
    </row>
    <row r="29" spans="1:8" ht="15" customHeight="1" x14ac:dyDescent="0.25"/>
    <row r="30" spans="1:8" ht="15" customHeight="1" x14ac:dyDescent="0.25"/>
    <row r="31" spans="1:8" ht="15" customHeight="1" x14ac:dyDescent="0.25"/>
    <row r="32" spans="1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info</vt:lpstr>
      <vt:lpstr>scénario.moyen</vt:lpstr>
      <vt:lpstr>scénario.haut</vt:lpstr>
      <vt:lpstr>scénario.bas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R11</vt:lpstr>
      <vt:lpstr>R12</vt:lpstr>
      <vt:lpstr>R13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MOREAU</dc:creator>
  <cp:lastModifiedBy>Rappo Mélisande</cp:lastModifiedBy>
  <dcterms:created xsi:type="dcterms:W3CDTF">2016-01-14T15:17:03Z</dcterms:created>
  <dcterms:modified xsi:type="dcterms:W3CDTF">2025-10-04T14:58:49Z</dcterms:modified>
</cp:coreProperties>
</file>